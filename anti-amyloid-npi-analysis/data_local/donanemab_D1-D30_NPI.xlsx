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ukusai\Downloads\"/>
    </mc:Choice>
  </mc:AlternateContent>
  <xr:revisionPtr revIDLastSave="0" documentId="13_ncr:1_{BE354F42-D64B-40FD-8256-8F3710AD8E1D}" xr6:coauthVersionLast="47" xr6:coauthVersionMax="47" xr10:uidLastSave="{00000000-0000-0000-0000-000000000000}"/>
  <bookViews>
    <workbookView xWindow="-24120" yWindow="-7470" windowWidth="24240" windowHeight="18240" activeTab="4" xr2:uid="{00000000-000D-0000-FFFF-FFFF00000000}"/>
  </bookViews>
  <sheets>
    <sheet name="README" sheetId="1" r:id="rId1"/>
    <sheet name="MMSE" sheetId="2" r:id="rId2"/>
    <sheet name="CDR" sheetId="3" r:id="rId3"/>
    <sheet name="MoCA-J" sheetId="4" r:id="rId4"/>
    <sheet name="NPI" sheetId="5" r:id="rId5"/>
    <sheet name="要再確認ログ" sheetId="6" r:id="rId6"/>
  </sheets>
  <calcPr calcId="0"/>
</workbook>
</file>

<file path=xl/sharedStrings.xml><?xml version="1.0" encoding="utf-8"?>
<sst xmlns="http://schemas.openxmlformats.org/spreadsheetml/2006/main" count="1584" uniqueCount="207">
  <si>
    <t>作成方針</t>
  </si>
  <si>
    <t>1つのExcelファイル内で MMSE / CDR / MoCA-J / 精神症状 を別シート化。全シートに「研究番号」と「時点」を配置。</t>
  </si>
  <si>
    <t>MMSE</t>
  </si>
  <si>
    <t>研究番号×時点の縦型。MMSE合計・下位項目・不一致確認・評価日/情報源を収載。</t>
  </si>
  <si>
    <t>CDR</t>
  </si>
  <si>
    <t>研究番号×時点の縦型。CDR-SB・Global CDR・CDR下位6領域・評価日/情報源を収載。</t>
  </si>
  <si>
    <t>MoCA-J</t>
  </si>
  <si>
    <t>研究番号×時点の縦型。MoCA-J合計・評価日/情報源を収載。</t>
  </si>
  <si>
    <t>精神症状</t>
  </si>
  <si>
    <t>精神症状は元資料上で時点別ではなく全体情報のため、時点は「全体」として収載。</t>
  </si>
  <si>
    <t>統合解析用</t>
  </si>
  <si>
    <t>AI・統計解析用。研究番号×時点で主要評価項目を横断的に1行へ集約。</t>
  </si>
  <si>
    <t>要再確認ログ</t>
  </si>
  <si>
    <t>備考・要再確認事項の詳細を別管理。メインシート側は短いフラグ表示。</t>
  </si>
  <si>
    <t>注意</t>
  </si>
  <si>
    <t>このファイルでは元の横長一覧を直接編集せず、解析しやすい縦型シートに再構成しています。</t>
  </si>
  <si>
    <t>ドナネマブ研究 D1-30 分割構造マスター</t>
  </si>
  <si>
    <t>研究番号</t>
  </si>
  <si>
    <t>時点</t>
  </si>
  <si>
    <t>合計_原資料記載値</t>
  </si>
  <si>
    <t>時間見当識</t>
  </si>
  <si>
    <t>場所見当識</t>
  </si>
  <si>
    <t>場所_県</t>
  </si>
  <si>
    <t>場所_市</t>
  </si>
  <si>
    <t>場所_病院</t>
  </si>
  <si>
    <t>場所_階</t>
  </si>
  <si>
    <t>場所_地方</t>
  </si>
  <si>
    <t>物品呼称</t>
  </si>
  <si>
    <t>記銘</t>
  </si>
  <si>
    <t>注意計算</t>
  </si>
  <si>
    <t>遅延再生</t>
  </si>
  <si>
    <t>復唱</t>
  </si>
  <si>
    <t>読字理解</t>
  </si>
  <si>
    <t>3段階命令</t>
  </si>
  <si>
    <t>書字</t>
  </si>
  <si>
    <t>図形模写</t>
  </si>
  <si>
    <t>下位項目合計_自動計算</t>
  </si>
  <si>
    <t>不一致確認</t>
  </si>
  <si>
    <t>評価日</t>
  </si>
  <si>
    <t>情報源PDF</t>
  </si>
  <si>
    <t>PDF該当ページ</t>
  </si>
  <si>
    <t>要確認フラグ</t>
  </si>
  <si>
    <t>備考フラグ</t>
  </si>
  <si>
    <t>D1</t>
  </si>
  <si>
    <t>0か月</t>
  </si>
  <si>
    <t>一致</t>
  </si>
  <si>
    <t>2025-03-08</t>
  </si>
  <si>
    <t>D01.pdf</t>
  </si>
  <si>
    <t>MMSE p.1</t>
  </si>
  <si>
    <t>6か月</t>
  </si>
  <si>
    <t>2025-12-02</t>
  </si>
  <si>
    <t>MMSE p.2</t>
  </si>
  <si>
    <t>12か月</t>
  </si>
  <si>
    <t>2026-06-05</t>
  </si>
  <si>
    <t>MMSE p.3</t>
  </si>
  <si>
    <t>18か月</t>
  </si>
  <si>
    <t>24か月</t>
  </si>
  <si>
    <t>D2</t>
  </si>
  <si>
    <t>2025-05-08</t>
  </si>
  <si>
    <t>D02.pdf</t>
  </si>
  <si>
    <t>D3</t>
  </si>
  <si>
    <t>2025-05-09</t>
  </si>
  <si>
    <t>D03.pdf</t>
  </si>
  <si>
    <t>2026-01-19</t>
  </si>
  <si>
    <t>2026-07-08</t>
  </si>
  <si>
    <t>要確認あり</t>
  </si>
  <si>
    <t>D4</t>
  </si>
  <si>
    <t>2025-09-12</t>
  </si>
  <si>
    <t>D04.pdf</t>
  </si>
  <si>
    <t>2026-04-02</t>
  </si>
  <si>
    <t>D5</t>
  </si>
  <si>
    <t>2025-10-07</t>
  </si>
  <si>
    <t>D05.pdf</t>
  </si>
  <si>
    <t>2026-04-08</t>
  </si>
  <si>
    <t>D6</t>
  </si>
  <si>
    <t>2025-10-08</t>
  </si>
  <si>
    <t>D06.pdf</t>
  </si>
  <si>
    <t>2026-04-27</t>
  </si>
  <si>
    <t>D7</t>
  </si>
  <si>
    <t>2025-09-11</t>
  </si>
  <si>
    <t>D07.pdf</t>
  </si>
  <si>
    <t>2026-05-11</t>
  </si>
  <si>
    <t>D8</t>
  </si>
  <si>
    <t>2025-10-24</t>
  </si>
  <si>
    <t>D08.pdf</t>
  </si>
  <si>
    <t>備考あり</t>
  </si>
  <si>
    <t>2026-05-08</t>
  </si>
  <si>
    <t>D9</t>
  </si>
  <si>
    <t>D09.pdf</t>
  </si>
  <si>
    <t>2026-06-09</t>
  </si>
  <si>
    <t>D10</t>
  </si>
  <si>
    <t>2025-11-13</t>
  </si>
  <si>
    <t>D10.pdf</t>
  </si>
  <si>
    <t>D11</t>
  </si>
  <si>
    <t>2025-11-12</t>
  </si>
  <si>
    <t>D11.pdf</t>
  </si>
  <si>
    <t>D12</t>
  </si>
  <si>
    <t>2025-10-22</t>
  </si>
  <si>
    <t>D12.pdf</t>
  </si>
  <si>
    <t>2026-07-14</t>
  </si>
  <si>
    <t>D13</t>
  </si>
  <si>
    <t>2025-11-14</t>
  </si>
  <si>
    <t>D13.pdf</t>
  </si>
  <si>
    <t>D14</t>
  </si>
  <si>
    <t>D14.pdf</t>
  </si>
  <si>
    <t>2026-07-15</t>
  </si>
  <si>
    <t>D15</t>
  </si>
  <si>
    <t>2025-12-03</t>
  </si>
  <si>
    <t>D15.pdf</t>
  </si>
  <si>
    <t>2026-07-13</t>
  </si>
  <si>
    <t>D16</t>
  </si>
  <si>
    <t>2025-12-18</t>
  </si>
  <si>
    <t>D16.pdf</t>
  </si>
  <si>
    <t>2026-06-23</t>
  </si>
  <si>
    <t>D17</t>
  </si>
  <si>
    <t>D17.pdf</t>
  </si>
  <si>
    <t>D18</t>
  </si>
  <si>
    <t>D18.pdf</t>
  </si>
  <si>
    <t>D19</t>
  </si>
  <si>
    <t>要再確認</t>
  </si>
  <si>
    <t>2026-01-22</t>
  </si>
  <si>
    <t>D19.pdf</t>
  </si>
  <si>
    <t>D20</t>
  </si>
  <si>
    <t>2026-01-08</t>
  </si>
  <si>
    <t>D20.pdf</t>
  </si>
  <si>
    <t>D21</t>
  </si>
  <si>
    <t>2026-01-21</t>
  </si>
  <si>
    <t>D21.pdf</t>
  </si>
  <si>
    <t>D22</t>
  </si>
  <si>
    <t>2026-02-06</t>
  </si>
  <si>
    <t>D22.pdf</t>
  </si>
  <si>
    <t>D23</t>
  </si>
  <si>
    <t>2026-03-06</t>
  </si>
  <si>
    <t>D23.pdf</t>
  </si>
  <si>
    <t>D24</t>
  </si>
  <si>
    <t>2026-03-09</t>
  </si>
  <si>
    <t>D24.pdf</t>
  </si>
  <si>
    <t>D25</t>
  </si>
  <si>
    <t>2026-03-12</t>
  </si>
  <si>
    <t>D25.pdf</t>
  </si>
  <si>
    <t>D26</t>
  </si>
  <si>
    <t>2026-04-10</t>
  </si>
  <si>
    <t>D26.pdf</t>
  </si>
  <si>
    <t>D27</t>
  </si>
  <si>
    <t>2026-05-01</t>
  </si>
  <si>
    <t>D27.pdf</t>
  </si>
  <si>
    <t>D28</t>
  </si>
  <si>
    <t>2026-03-24</t>
  </si>
  <si>
    <t>D28.pdf</t>
  </si>
  <si>
    <t>D29</t>
  </si>
  <si>
    <t>2026-05-07</t>
  </si>
  <si>
    <t>D29.pdf</t>
  </si>
  <si>
    <t>D30</t>
  </si>
  <si>
    <t>2026-07-28</t>
  </si>
  <si>
    <t>D30.pdf</t>
  </si>
  <si>
    <t>CDR-SB_原資料記載値</t>
  </si>
  <si>
    <t>Global CDR_原資料記載値</t>
  </si>
  <si>
    <t>記憶</t>
  </si>
  <si>
    <t>見当識</t>
  </si>
  <si>
    <t>判断力・問題解決</t>
  </si>
  <si>
    <t>地域社会の活動</t>
  </si>
  <si>
    <t>家庭・趣味</t>
  </si>
  <si>
    <t>身の回りの世話</t>
  </si>
  <si>
    <t>CDR-SB_自動計算</t>
  </si>
  <si>
    <t>CDR-SB_不一致確認</t>
  </si>
  <si>
    <t>CDR-J p.4</t>
  </si>
  <si>
    <t>CDR-J p.5</t>
  </si>
  <si>
    <t>CDR-J p.6</t>
  </si>
  <si>
    <t>CDR-J p.3</t>
  </si>
  <si>
    <t>2023-10-24</t>
  </si>
  <si>
    <t>CDR-J p.2</t>
  </si>
  <si>
    <t>MoCA-J p.7</t>
  </si>
  <si>
    <t>MoCA-J p.5</t>
  </si>
  <si>
    <t>MoCA-J p.3</t>
  </si>
  <si>
    <t>2026-01-18</t>
  </si>
  <si>
    <t>2026-02-26</t>
  </si>
  <si>
    <t>2026-03-16</t>
  </si>
  <si>
    <t>2026-03-18</t>
  </si>
  <si>
    <t>易怒性</t>
  </si>
  <si>
    <t>意欲低下</t>
  </si>
  <si>
    <t>両方なし</t>
  </si>
  <si>
    <t>ドナネマブ投与後に何らかの症状改善の訴えあり</t>
  </si>
  <si>
    <t>改善訴え内容（患者情報より）</t>
  </si>
  <si>
    <t>全体</t>
  </si>
  <si>
    <t>記載なし</t>
  </si>
  <si>
    <t>区分</t>
  </si>
  <si>
    <t>内容種別</t>
  </si>
  <si>
    <t>内容</t>
  </si>
  <si>
    <t>管理情報</t>
  </si>
  <si>
    <t>要再確認事項</t>
  </si>
  <si>
    <t>CDR-SB原資料記載値3.0とCDR6領域合計3.5が不一致。原資料値・領域値とも修正せず格納。</t>
  </si>
  <si>
    <t>MMSE注意計算の採点欄に4点と5点の双方の丸印があり最終値を判読できない。推測入力せず空欄。</t>
  </si>
  <si>
    <t>MMSE書字（設問14）に明確な採点丸印を確認できない。原資料合計22点は保持し、書字・自動計算・不一致確認は空欄。</t>
  </si>
  <si>
    <t>CDR-J記載日（2023-10-24）がMMSE評価日（2025-10-24）と異なる。資料上は0か月評価として格納。</t>
  </si>
  <si>
    <t>MMSE p.1 / CDR-J p.3</t>
  </si>
  <si>
    <t>MMSE原資料合計23点の記載はあるが、下位項目の採点丸印を確認できない。合計のみ入力し、下位項目は空欄。</t>
  </si>
  <si>
    <t>D17.pdfのMMSE p.1・p.2は用紙内研究番号がD19、CDR-J・MoCA-JはD17。症例対応が矛盾するためMMSE値は0か月・6か月とも保留し空欄。</t>
  </si>
  <si>
    <t>MMSE p.1-p.2 / CDR-J p.3-p.4 / MoCA-J p.5</t>
  </si>
  <si>
    <t>MMSE原資料合計24点の記載はあるが、下位項目はほぼ未採点。合計のみ入力し、下位項目は空欄。</t>
  </si>
  <si>
    <t>MMSE原資料合計24点と、明確に採点された下位項目合計26点が不一致。値は修正せず格納。</t>
  </si>
  <si>
    <t>MMSE原資料合計24点と、明確に採点された下位項目合計25点が不一致。値は修正せず格納。</t>
  </si>
  <si>
    <t>MoCA-J検査実施日（2026-02-26）がMMSE評価日（2026-01-08）と異なる。資料上は0か月評価として格納。</t>
  </si>
  <si>
    <t>MMSE p.1 / MoCA-J p.3</t>
  </si>
  <si>
    <t>MMSE時間見当識の採点欄に4点と5点の重複した丸印があり最終値を判読できない。推測入力せず空欄。</t>
  </si>
  <si>
    <t>MoCA-J検査実施日（2026-03-16）がMMSE評価日（2026-02-06）と異なる。資料上は0か月評価として格納。</t>
  </si>
  <si>
    <t>MoCA-J検査実施日（2026-03-18）がMMSE評価日（2026-03-06）と異なる。資料上は0か月評価として格納。</t>
  </si>
  <si>
    <t>MMSE原資料合計21点と、明確に採点された下位項目合計22点が不一致。値は修正せず格納。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</si>
</sst>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-mm-dd"/>
    <numFmt numFmtId="165" formatCode="0"/>
    <numFmt numFmtId="166" formatCode="yyyy-mm-dd"/>
    <numFmt numFmtId="167" formatCode="0"/>
  </numFmts>
  <fonts count="2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</font>
    <font>
      <sz val="11"/>
      <color rgb="FF1F2937"/>
      <name val="Yu Gothic"/>
    </font>
    <font>
      <b/>
      <sz val="11"/>
      <color rgb="FFFFFFFF"/>
      <name val="Yu Gothic"/>
    </font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</font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</font>
    <font>
      <sz val="11"/>
      <color rgb="FF1F2937"/>
      <name val="Yu Gothic"/>
    </font>
    <font>
      <b/>
      <sz val="11"/>
      <color rgb="FFFFFFFF"/>
      <name val="Yu Gothic"/>
    </font>
    <font>
      <b/>
      <sz val="11"/>
      <color rgb="FF1F2937"/>
      <name val="Yu Gothic"/>
    </font>
  </fonts>
  <fills count="39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C1E5F5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C1E5F5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C1E5F5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C1E5F5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/>
    <border/>
    <border/>
  </borders>
  <cellStyleXfs count="8">
    <xf numFmtId="0" fontId="0" fillId="0" borderId="0"/>
    <xf numFmtId="0" fontId="3" fillId="0" borderId="0"/>
    <xf numFmtId="0" fontId="5" fillId="8" borderId="1"/>
    <xf numFmtId="0" fontId="8" fillId="8" borderId="1"/>
    <xf numFmtId="0" fontId="12" fillId="18" borderId="2"/>
    <xf numFmtId="0" fontId="15" fillId="18" borderId="2"/>
    <xf numFmtId="0" fontId="17" fillId="26" borderId="3"/>
    <xf numFmtId="0" fontId="20" fillId="26" borderId="3"/>
  </cellStyleXfs>
  <cellXfs count="120">
    <xf numFmtId="0" fontId="0" fillId="0" borderId="0" xfId="0"/>
    <xf numFmtId="0" fontId="2" fillId="3" borderId="0" xfId="1" applyFont="1" applyFill="1"/>
    <xf numFmtId="0" fontId="1" fillId="2" borderId="0" xfId="1" applyFont="1" applyFill="1" applyAlignment="1">
      <alignment wrapText="1"/>
    </xf>
    <xf numFmtId="0" fontId="1" fillId="4" borderId="0" xfId="1" applyFont="1" applyFill="1" applyAlignment="1">
      <alignment horizontal="center" vertical="center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6" borderId="0" xfId="0" applyFill="1"/>
    <xf numFmtId="0" fontId="0" fillId="5" borderId="0" xfId="0" applyFill="1"/>
    <xf numFmtId="0" fontId="0" fillId="7" borderId="0" xfId="0" applyFill="1" applyAlignment="1">
      <alignment vertical="top" wrapText="1"/>
    </xf>
    <xf numFmtId="0" fontId="0" fillId="7" borderId="0" xfId="0" applyFill="1"/>
    <xf numFmtId="0" fontId="5" fillId="8" borderId="1" xfId="2"/>
    <xf numFmtId="0" fontId="7" fillId="11" borderId="1" xfId="3" applyFont="1" applyFill="1"/>
    <xf numFmtId="0" fontId="6" fillId="10" borderId="1" xfId="3" applyFont="1" applyFill="1" applyAlignment="1">
      <alignment wrapText="1"/>
    </xf>
    <xf numFmtId="0" fontId="6" fillId="12" borderId="1" xfId="3" applyFont="1" applyFill="1" applyAlignment="1">
      <alignment horizontal="center" vertical="center" wrapText="1"/>
    </xf>
    <xf numFmtId="0" fontId="5" fillId="13" borderId="1" xfId="2" applyFill="1" applyAlignment="1">
      <alignment vertical="top" wrapText="1"/>
    </xf>
    <xf numFmtId="0" fontId="5" fillId="14" borderId="1" xfId="2" applyFill="1" applyAlignment="1">
      <alignment vertical="top" wrapText="1"/>
    </xf>
    <xf numFmtId="0" fontId="5" fillId="14" borderId="1" xfId="2" applyFill="1"/>
    <xf numFmtId="0" fontId="5" fillId="13" borderId="1" xfId="2" applyFill="1"/>
    <xf numFmtId="0" fontId="5" fillId="15" borderId="1" xfId="2" applyFill="1" applyAlignment="1">
      <alignment vertical="top" wrapText="1"/>
    </xf>
    <xf numFmtId="0" fontId="5" fillId="15" borderId="1" xfId="2" applyFill="1"/>
    <xf numFmtId="0" fontId="10" fillId="8" borderId="1" xfId="2" applyNumberFormat="1" applyFont="1" applyFill="1" applyBorder="1"/>
    <xf numFmtId="0" fontId="10" fillId="8" borderId="1" xfId="2" applyNumberFormat="1" applyFont="1" applyFill="1" applyBorder="1" applyAlignment="1">
      <alignment vertical="center"/>
    </xf>
    <xf numFmtId="0" fontId="10" fillId="16" borderId="1" xfId="2" applyNumberFormat="1" applyFont="1" applyFill="1" applyBorder="1" applyAlignment="1">
      <alignment vertical="center"/>
    </xf>
    <xf numFmtId="0" fontId="11" fillId="16" borderId="1" xfId="2" applyNumberFormat="1" applyFont="1" applyFill="1" applyBorder="1" applyAlignment="1">
      <alignment vertical="center"/>
    </xf>
    <xf numFmtId="0" fontId="11" fillId="16" borderId="1" xfId="2" applyNumberFormat="1" applyFont="1" applyFill="1" applyBorder="1" applyAlignment="1">
      <alignment vertical="center" wrapText="1"/>
    </xf>
    <xf numFmtId="0" fontId="11" fillId="16" borderId="1" xfId="2" applyNumberFormat="1" applyFont="1" applyFill="1" applyBorder="1" applyAlignment="1">
      <alignment horizontal="center" vertical="center" wrapText="1"/>
    </xf>
    <xf numFmtId="164" fontId="10" fillId="8" borderId="1" xfId="2" applyNumberFormat="1" applyFont="1" applyFill="1" applyBorder="1" applyAlignment="1">
      <alignment vertical="center"/>
    </xf>
    <xf numFmtId="165" fontId="10" fillId="8" borderId="1" xfId="2" applyNumberFormat="1" applyFont="1" applyFill="1" applyBorder="1" applyAlignment="1">
      <alignment vertical="center"/>
    </xf>
    <xf numFmtId="0" fontId="10" fillId="8" borderId="1" xfId="2" applyNumberFormat="1" applyFont="1" applyFill="1" applyBorder="1" applyAlignment="1">
      <alignment horizontal="center" vertical="center"/>
    </xf>
    <xf numFmtId="165" fontId="10" fillId="8" borderId="1" xfId="2" applyNumberFormat="1" applyFont="1" applyFill="1" applyBorder="1" applyAlignment="1">
      <alignment horizontal="center" vertical="center"/>
    </xf>
    <xf numFmtId="0" fontId="10" fillId="8" borderId="1" xfId="2" applyNumberFormat="1" applyFont="1" applyFill="1" applyBorder="1" applyAlignment="1">
      <alignment vertical="center" wrapText="1"/>
    </xf>
    <xf numFmtId="0" fontId="10" fillId="17" borderId="1" xfId="2" applyNumberFormat="1" applyFont="1" applyFill="1" applyBorder="1" applyAlignment="1">
      <alignment vertical="center"/>
    </xf>
    <xf numFmtId="164" fontId="10" fillId="17" borderId="1" xfId="2" applyNumberFormat="1" applyFont="1" applyFill="1" applyBorder="1" applyAlignment="1">
      <alignment vertical="center"/>
    </xf>
    <xf numFmtId="0" fontId="10" fillId="17" borderId="1" xfId="2" applyNumberFormat="1" applyFont="1" applyFill="1" applyBorder="1" applyAlignment="1">
      <alignment horizontal="center" vertical="center"/>
    </xf>
    <xf numFmtId="165" fontId="10" fillId="17" borderId="1" xfId="2" applyNumberFormat="1" applyFont="1" applyFill="1" applyBorder="1" applyAlignment="1">
      <alignment horizontal="center" vertical="center"/>
    </xf>
    <xf numFmtId="165" fontId="10" fillId="17" borderId="1" xfId="2" applyNumberFormat="1" applyFont="1" applyFill="1" applyBorder="1" applyAlignment="1">
      <alignment vertical="center"/>
    </xf>
    <xf numFmtId="0" fontId="10" fillId="17" borderId="1" xfId="2" applyNumberFormat="1" applyFont="1" applyFill="1" applyBorder="1" applyAlignment="1">
      <alignment vertical="center" wrapText="1"/>
    </xf>
    <xf numFmtId="0" fontId="10" fillId="8" borderId="1" xfId="2" applyNumberFormat="1" applyFont="1" applyFill="1" applyBorder="1" applyAlignment="1">
      <alignment wrapText="1"/>
    </xf>
    <xf numFmtId="0" fontId="5" fillId="8" borderId="1" xfId="2" applyNumberFormat="1" applyFont="1" applyFill="1" applyBorder="1" applyAlignment="1">
      <alignment wrapText="1"/>
    </xf>
    <xf numFmtId="0" fontId="7" fillId="11" borderId="1" xfId="2" applyNumberFormat="1" applyFont="1" applyFill="1" applyBorder="1" applyAlignment="1">
      <alignment vertical="center"/>
    </xf>
    <xf numFmtId="0" fontId="5" fillId="8" borderId="1" xfId="2" applyNumberFormat="1" applyFont="1" applyFill="1" applyBorder="1" applyAlignment="1">
      <alignment vertical="center" wrapText="1"/>
    </xf>
    <xf numFmtId="0" fontId="12" fillId="18" borderId="2" xfId="4"/>
    <xf numFmtId="0" fontId="14" fillId="21" borderId="2" xfId="5" applyFont="1" applyFill="1"/>
    <xf numFmtId="0" fontId="13" fillId="20" borderId="2" xfId="5" applyFont="1" applyFill="1" applyAlignment="1">
      <alignment wrapText="1"/>
    </xf>
    <xf numFmtId="0" fontId="13" fillId="22" borderId="2" xfId="5" applyFont="1" applyFill="1" applyAlignment="1">
      <alignment horizontal="center" vertical="center" wrapText="1"/>
    </xf>
    <xf numFmtId="0" fontId="12" fillId="23" borderId="2" xfId="4" applyFill="1" applyAlignment="1">
      <alignment vertical="top" wrapText="1"/>
    </xf>
    <xf numFmtId="0" fontId="12" fillId="24" borderId="2" xfId="4" applyFill="1" applyAlignment="1">
      <alignment vertical="top" wrapText="1"/>
    </xf>
    <xf numFmtId="0" fontId="12" fillId="24" borderId="2" xfId="4" applyFill="1"/>
    <xf numFmtId="0" fontId="12" fillId="23" borderId="2" xfId="4" applyFill="1"/>
    <xf numFmtId="0" fontId="12" fillId="25" borderId="2" xfId="4" applyFill="1" applyAlignment="1">
      <alignment vertical="top" wrapText="1"/>
    </xf>
    <xf numFmtId="0" fontId="12" fillId="25" borderId="2" xfId="4" applyFill="1"/>
    <xf numFmtId="0" fontId="17" fillId="26" borderId="3" xfId="6"/>
    <xf numFmtId="0" fontId="19" fillId="29" borderId="3" xfId="7" applyFont="1" applyFill="1"/>
    <xf numFmtId="0" fontId="18" fillId="28" borderId="3" xfId="7" applyFont="1" applyFill="1" applyAlignment="1">
      <alignment wrapText="1"/>
    </xf>
    <xf numFmtId="0" fontId="18" fillId="30" borderId="3" xfId="7" applyFont="1" applyFill="1" applyAlignment="1">
      <alignment horizontal="center" vertical="center" wrapText="1"/>
    </xf>
    <xf numFmtId="0" fontId="17" fillId="31" borderId="3" xfId="6" applyFill="1" applyAlignment="1">
      <alignment vertical="top" wrapText="1"/>
    </xf>
    <xf numFmtId="0" fontId="17" fillId="32" borderId="3" xfId="6" applyFill="1" applyAlignment="1">
      <alignment vertical="top" wrapText="1"/>
    </xf>
    <xf numFmtId="0" fontId="17" fillId="32" borderId="3" xfId="6" applyFill="1"/>
    <xf numFmtId="0" fontId="17" fillId="31" borderId="3" xfId="6" applyFill="1"/>
    <xf numFmtId="0" fontId="17" fillId="33" borderId="3" xfId="6" applyFill="1" applyAlignment="1">
      <alignment vertical="top" wrapText="1"/>
    </xf>
    <xf numFmtId="0" fontId="17" fillId="33" borderId="3" xfId="6" applyFill="1"/>
    <xf numFmtId="0" fontId="22" fillId="26" borderId="3" xfId="6" applyNumberFormat="1" applyFont="1" applyFill="1" applyBorder="1"/>
    <xf numFmtId="0" fontId="22" fillId="26" borderId="3" xfId="6" applyNumberFormat="1" applyFont="1" applyFill="1" applyBorder="1" applyAlignment="1">
      <alignment vertical="center"/>
    </xf>
    <xf numFmtId="0" fontId="22" fillId="34" borderId="3" xfId="6" applyNumberFormat="1" applyFont="1" applyFill="1" applyBorder="1" applyAlignment="1">
      <alignment vertical="center"/>
    </xf>
    <xf numFmtId="0" fontId="23" fillId="34" borderId="3" xfId="6" applyNumberFormat="1" applyFont="1" applyFill="1" applyBorder="1" applyAlignment="1">
      <alignment vertical="center"/>
    </xf>
    <xf numFmtId="0" fontId="23" fillId="34" borderId="3" xfId="6" applyNumberFormat="1" applyFont="1" applyFill="1" applyBorder="1" applyAlignment="1">
      <alignment vertical="center" wrapText="1"/>
    </xf>
    <xf numFmtId="0" fontId="23" fillId="34" borderId="3" xfId="6" applyNumberFormat="1" applyFont="1" applyFill="1" applyBorder="1" applyAlignment="1">
      <alignment horizontal="center" vertical="center" wrapText="1"/>
    </xf>
    <xf numFmtId="166" fontId="22" fillId="26" borderId="3" xfId="6" applyNumberFormat="1" applyFont="1" applyFill="1" applyBorder="1" applyAlignment="1">
      <alignment vertical="center"/>
    </xf>
    <xf numFmtId="167" fontId="22" fillId="26" borderId="3" xfId="6" applyNumberFormat="1" applyFont="1" applyFill="1" applyBorder="1" applyAlignment="1">
      <alignment vertical="center"/>
    </xf>
    <xf numFmtId="0" fontId="22" fillId="26" borderId="3" xfId="6" applyNumberFormat="1" applyFont="1" applyFill="1" applyBorder="1" applyAlignment="1">
      <alignment horizontal="center" vertical="center"/>
    </xf>
    <xf numFmtId="167" fontId="22" fillId="26" borderId="3" xfId="6" applyNumberFormat="1" applyFont="1" applyFill="1" applyBorder="1" applyAlignment="1">
      <alignment horizontal="center" vertical="center"/>
    </xf>
    <xf numFmtId="0" fontId="22" fillId="26" borderId="3" xfId="6" applyNumberFormat="1" applyFont="1" applyFill="1" applyBorder="1" applyAlignment="1">
      <alignment vertical="center" wrapText="1"/>
    </xf>
    <xf numFmtId="0" fontId="22" fillId="35" borderId="3" xfId="6" applyNumberFormat="1" applyFont="1" applyFill="1" applyBorder="1" applyAlignment="1">
      <alignment vertical="center"/>
    </xf>
    <xf numFmtId="166" fontId="22" fillId="35" borderId="3" xfId="6" applyNumberFormat="1" applyFont="1" applyFill="1" applyBorder="1" applyAlignment="1">
      <alignment vertical="center"/>
    </xf>
    <xf numFmtId="0" fontId="22" fillId="35" borderId="3" xfId="6" applyNumberFormat="1" applyFont="1" applyFill="1" applyBorder="1" applyAlignment="1">
      <alignment horizontal="center" vertical="center"/>
    </xf>
    <xf numFmtId="167" fontId="22" fillId="35" borderId="3" xfId="6" applyNumberFormat="1" applyFont="1" applyFill="1" applyBorder="1" applyAlignment="1">
      <alignment horizontal="center" vertical="center"/>
    </xf>
    <xf numFmtId="167" fontId="22" fillId="35" borderId="3" xfId="6" applyNumberFormat="1" applyFont="1" applyFill="1" applyBorder="1" applyAlignment="1">
      <alignment vertical="center"/>
    </xf>
    <xf numFmtId="0" fontId="22" fillId="35" borderId="3" xfId="6" applyNumberFormat="1" applyFont="1" applyFill="1" applyBorder="1" applyAlignment="1">
      <alignment vertical="center" wrapText="1"/>
    </xf>
    <xf numFmtId="0" fontId="22" fillId="26" borderId="3" xfId="6" applyNumberFormat="1" applyFont="1" applyFill="1" applyBorder="1" applyAlignment="1">
      <alignment wrapText="1"/>
    </xf>
    <xf numFmtId="0" fontId="17" fillId="26" borderId="3" xfId="6" applyNumberFormat="1" applyFont="1" applyFill="1" applyBorder="1" applyAlignment="1">
      <alignment wrapText="1"/>
    </xf>
    <xf numFmtId="0" fontId="19" fillId="29" borderId="3" xfId="6" applyNumberFormat="1" applyFont="1" applyFill="1" applyBorder="1" applyAlignment="1">
      <alignment vertical="center"/>
    </xf>
    <xf numFmtId="0" fontId="17" fillId="26" borderId="3" xfId="6" applyNumberFormat="1" applyFont="1" applyFill="1" applyBorder="1" applyAlignment="1">
      <alignment vertical="center" wrapText="1"/>
    </xf>
    <xf numFmtId="0" fontId="12" fillId="36" borderId="2" xfId="4" applyNumberFormat="1" applyFont="1" applyFill="1" applyBorder="1"/>
    <xf numFmtId="0" fontId="12" fillId="37" borderId="2" xfId="4" applyNumberFormat="1" applyFont="1" applyFill="1" applyBorder="1"/>
    <xf numFmtId="0" fontId="22" fillId="18" borderId="2" xfId="4" applyNumberFormat="1" applyFont="1" applyFill="1" applyBorder="1"/>
    <xf numFmtId="0" fontId="22" fillId="36" borderId="2" xfId="4" applyNumberFormat="1" applyFont="1" applyFill="1" applyBorder="1"/>
    <xf numFmtId="0" fontId="22" fillId="37" borderId="2" xfId="4" applyNumberFormat="1" applyFont="1" applyFill="1" applyBorder="1"/>
    <xf numFmtId="0" fontId="22" fillId="18" borderId="2" xfId="4" applyNumberFormat="1" applyFont="1" applyFill="1" applyBorder="1" applyAlignment="1">
      <alignment vertical="center"/>
    </xf>
    <xf numFmtId="0" fontId="22" fillId="36" borderId="2" xfId="4" applyNumberFormat="1" applyFont="1" applyFill="1" applyBorder="1" applyAlignment="1">
      <alignment vertical="center"/>
    </xf>
    <xf numFmtId="0" fontId="22" fillId="37" borderId="2" xfId="4" applyNumberFormat="1" applyFont="1" applyFill="1" applyBorder="1" applyAlignment="1">
      <alignment vertical="center"/>
    </xf>
    <xf numFmtId="0" fontId="22" fillId="18" borderId="2" xfId="4" applyNumberFormat="1" applyFont="1" applyFill="1" applyBorder="1" applyAlignment="1">
      <alignment horizontal="center" vertical="center"/>
    </xf>
    <xf numFmtId="0" fontId="22" fillId="36" borderId="2" xfId="4" applyNumberFormat="1" applyFont="1" applyFill="1" applyBorder="1" applyAlignment="1">
      <alignment horizontal="center" vertical="center"/>
    </xf>
    <xf numFmtId="0" fontId="22" fillId="37" borderId="2" xfId="4" applyNumberFormat="1" applyFont="1" applyFill="1" applyBorder="1" applyAlignment="1">
      <alignment horizontal="center" vertical="center"/>
    </xf>
    <xf numFmtId="0" fontId="22" fillId="38" borderId="2" xfId="4" applyNumberFormat="1" applyFont="1" applyFill="1" applyBorder="1" applyAlignment="1">
      <alignment horizontal="center" vertical="center"/>
    </xf>
    <xf numFmtId="0" fontId="23" fillId="38" borderId="2" xfId="4" applyNumberFormat="1" applyFont="1" applyFill="1" applyBorder="1" applyAlignment="1">
      <alignment horizontal="center" vertical="center"/>
    </xf>
    <xf numFmtId="0" fontId="23" fillId="38" borderId="2" xfId="4" applyNumberFormat="1" applyFont="1" applyFill="1" applyBorder="1" applyAlignment="1">
      <alignment horizontal="center" vertical="center" wrapText="1"/>
    </xf>
    <xf numFmtId="0" fontId="24" fillId="36" borderId="2" xfId="4" applyNumberFormat="1" applyFont="1" applyFill="1" applyBorder="1" applyAlignment="1">
      <alignment horizontal="center" vertical="center"/>
    </xf>
    <xf numFmtId="0" fontId="24" fillId="37" borderId="2" xfId="4" applyNumberFormat="1" applyFont="1" applyFill="1" applyBorder="1" applyAlignment="1">
      <alignment horizontal="center" vertical="center"/>
    </xf>
    <xf numFmtId="167" fontId="22" fillId="36" borderId="2" xfId="4" applyNumberFormat="1" applyFont="1" applyFill="1" applyBorder="1" applyAlignment="1">
      <alignment horizontal="center" vertical="center"/>
    </xf>
    <xf numFmtId="167" fontId="24" fillId="36" borderId="2" xfId="4" applyNumberFormat="1" applyFont="1" applyFill="1" applyBorder="1" applyAlignment="1">
      <alignment horizontal="center" vertical="center"/>
    </xf>
    <xf numFmtId="167" fontId="12" fillId="18" borderId="2" xfId="4" applyNumberFormat="1" applyFont="1" applyFill="1" applyBorder="1"/>
    <xf numFmtId="167" fontId="22" fillId="37" borderId="2" xfId="4" applyNumberFormat="1" applyFont="1" applyFill="1" applyBorder="1" applyAlignment="1">
      <alignment horizontal="center" vertical="center"/>
    </xf>
    <xf numFmtId="167" fontId="24" fillId="37" borderId="2" xfId="4" applyNumberFormat="1" applyFont="1" applyFill="1" applyBorder="1" applyAlignment="1">
      <alignment horizontal="center" vertical="center"/>
    </xf>
    <xf numFmtId="166" fontId="12" fillId="18" borderId="2" xfId="4" applyNumberFormat="1" applyFont="1" applyFill="1" applyBorder="1"/>
    <xf numFmtId="0" fontId="12" fillId="18" borderId="2" xfId="4" applyNumberFormat="1" applyFont="1" applyFill="1" applyBorder="1" applyAlignment="1">
      <alignment wrapText="1"/>
    </xf>
    <xf numFmtId="0" fontId="24" fillId="38" borderId="2" xfId="4" applyNumberFormat="1" applyFont="1" applyFill="1" applyBorder="1" applyAlignment="1">
      <alignment horizontal="center" vertical="center" wrapText="1"/>
    </xf>
    <xf numFmtId="166" fontId="22" fillId="18" borderId="2" xfId="4" applyNumberFormat="1" applyFont="1" applyFill="1" applyBorder="1"/>
    <xf numFmtId="167" fontId="22" fillId="18" borderId="2" xfId="4" applyNumberFormat="1" applyFont="1" applyFill="1" applyBorder="1"/>
    <xf numFmtId="0" fontId="22" fillId="18" borderId="2" xfId="4" applyNumberFormat="1" applyFont="1" applyFill="1" applyBorder="1" applyAlignment="1">
      <alignment wrapText="1"/>
    </xf>
    <xf numFmtId="166" fontId="22" fillId="18" borderId="2" xfId="4" applyNumberFormat="1" applyFont="1" applyFill="1" applyBorder="1" applyAlignment="1">
      <alignment vertical="center"/>
    </xf>
    <xf numFmtId="167" fontId="22" fillId="18" borderId="2" xfId="4" applyNumberFormat="1" applyFont="1" applyFill="1" applyBorder="1" applyAlignment="1">
      <alignment vertical="center"/>
    </xf>
    <xf numFmtId="0" fontId="22" fillId="18" borderId="2" xfId="4" applyNumberFormat="1" applyFont="1" applyFill="1" applyBorder="1" applyAlignment="1">
      <alignment vertical="center" wrapText="1"/>
    </xf>
    <xf numFmtId="0" fontId="22" fillId="38" borderId="2" xfId="4" applyNumberFormat="1" applyFont="1" applyFill="1" applyBorder="1" applyAlignment="1">
      <alignment vertical="center"/>
    </xf>
    <xf numFmtId="0" fontId="23" fillId="38" borderId="2" xfId="4" applyNumberFormat="1" applyFont="1" applyFill="1" applyBorder="1" applyAlignment="1">
      <alignment vertical="center"/>
    </xf>
    <xf numFmtId="0" fontId="23" fillId="38" borderId="2" xfId="4" applyNumberFormat="1" applyFont="1" applyFill="1" applyBorder="1" applyAlignment="1">
      <alignment vertical="center" wrapText="1"/>
    </xf>
    <xf numFmtId="167" fontId="22" fillId="18" borderId="2" xfId="4" applyNumberFormat="1" applyFont="1" applyFill="1" applyBorder="1" applyAlignment="1">
      <alignment horizontal="center" vertical="center"/>
    </xf>
    <xf numFmtId="166" fontId="22" fillId="36" borderId="2" xfId="4" applyNumberFormat="1" applyFont="1" applyFill="1" applyBorder="1" applyAlignment="1">
      <alignment vertical="center"/>
    </xf>
    <xf numFmtId="0" fontId="22" fillId="36" borderId="2" xfId="4" applyNumberFormat="1" applyFont="1" applyFill="1" applyBorder="1" applyAlignment="1">
      <alignment vertical="center" wrapText="1"/>
    </xf>
    <xf numFmtId="166" fontId="22" fillId="37" borderId="2" xfId="4" applyNumberFormat="1" applyFont="1" applyFill="1" applyBorder="1" applyAlignment="1">
      <alignment vertical="center"/>
    </xf>
    <xf numFmtId="0" fontId="22" fillId="37" borderId="2" xfId="4" applyNumberFormat="1" applyFont="1" applyFill="1" applyBorder="1" applyAlignment="1">
      <alignment vertical="center" wrapText="1"/>
    </xf>
  </cellXfs>
  <cellStyles count="2">
    <cellStyle name="Normal" xfId="1" xr:uid="{00000000-0005-0000-0000-000000000000}"/>
    <cellStyle name="標準" xfId="0" builtinId="0"/>
  </cellStyles>
  <dxfs count="32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b/>
        <color rgb="FF9C3C10"/>
      </font>
      <fill>
        <patternFill patternType="solid">
          <bgColor rgb="FFFCE4D6"/>
        </patternFill>
      </fill>
    </dxf>
    <dxf>
      <font>
        <color rgb="FF805600"/>
      </font>
      <fill>
        <patternFill patternType="solid">
          <bgColor rgb="FFFFF2CC"/>
        </patternFill>
      </fill>
    </dxf>
    <dxf>
      <font>
        <b/>
        <color rgb="FF9C3C10"/>
      </font>
      <fill>
        <patternFill patternType="solid">
          <bgColor rgb="FFFCE4D6"/>
        </patternFill>
      </fill>
    </dxf>
    <dxf>
      <font>
        <color rgb="FF805600"/>
      </font>
      <fill>
        <patternFill patternType="solid"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b/>
        <color rgb="FF9C3C10"/>
      </font>
      <fill>
        <patternFill>
          <bgColor rgb="FFFCE4D6"/>
        </patternFill>
      </fill>
    </dxf>
    <dxf>
      <font>
        <color rgb="FF805600"/>
      </font>
      <fill>
        <patternFill>
          <bgColor rgb="FFFFF2CC"/>
        </patternFill>
      </fill>
    </dxf>
    <dxf>
      <font>
        <b/>
        <color rgb="FF9C3C10"/>
      </font>
      <fill>
        <patternFill>
          <bgColor rgb="FFFCE4D6"/>
        </patternFill>
      </fill>
    </dxf>
    <dxf>
      <font>
        <color rgb="FF8056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MMSE_Table" displayName="MMSE_Table" ref="A1:Z151" totalsRowShown="0">
  <autoFilter ref="A1:Z151" xr:uid="{00000000-0009-0000-0100-000007000000}"/>
  <tableColumns count="26">
    <tableColumn id="1" xr3:uid="{00000000-0010-0000-0000-000001000000}" name="研究番号"/>
    <tableColumn id="2" xr3:uid="{00000000-0010-0000-0000-000002000000}" name="時点"/>
    <tableColumn id="3" xr3:uid="{00000000-0010-0000-0000-000003000000}" name="合計_原資料記載値"/>
    <tableColumn id="4" xr3:uid="{00000000-0010-0000-0000-000004000000}" name="時間見当識"/>
    <tableColumn id="5" xr3:uid="{00000000-0010-0000-0000-000005000000}" name="場所見当識"/>
    <tableColumn id="6" xr3:uid="{00000000-0010-0000-0000-000006000000}" name="場所_県"/>
    <tableColumn id="7" xr3:uid="{00000000-0010-0000-0000-000007000000}" name="場所_市"/>
    <tableColumn id="8" xr3:uid="{00000000-0010-0000-0000-000008000000}" name="場所_病院"/>
    <tableColumn id="9" xr3:uid="{00000000-0010-0000-0000-000009000000}" name="場所_階"/>
    <tableColumn id="10" xr3:uid="{00000000-0010-0000-0000-00000A000000}" name="場所_地方"/>
    <tableColumn id="11" xr3:uid="{00000000-0010-0000-0000-00000B000000}" name="物品呼称"/>
    <tableColumn id="12" xr3:uid="{00000000-0010-0000-0000-00000C000000}" name="記銘"/>
    <tableColumn id="13" xr3:uid="{00000000-0010-0000-0000-00000D000000}" name="注意計算"/>
    <tableColumn id="14" xr3:uid="{00000000-0010-0000-0000-00000E000000}" name="遅延再生"/>
    <tableColumn id="15" xr3:uid="{00000000-0010-0000-0000-00000F000000}" name="復唱"/>
    <tableColumn id="16" xr3:uid="{00000000-0010-0000-0000-000010000000}" name="読字理解"/>
    <tableColumn id="17" xr3:uid="{00000000-0010-0000-0000-000011000000}" name="3段階命令"/>
    <tableColumn id="18" xr3:uid="{00000000-0010-0000-0000-000012000000}" name="書字"/>
    <tableColumn id="19" xr3:uid="{00000000-0010-0000-0000-000013000000}" name="図形模写"/>
    <tableColumn id="20" xr3:uid="{00000000-0010-0000-0000-000014000000}" name="下位項目合計_自動計算"/>
    <tableColumn id="21" xr3:uid="{00000000-0010-0000-0000-000015000000}" name="不一致確認"/>
    <tableColumn id="22" xr3:uid="{00000000-0010-0000-0000-000016000000}" name="評価日"/>
    <tableColumn id="23" xr3:uid="{00000000-0010-0000-0000-000017000000}" name="情報源PDF"/>
    <tableColumn id="24" xr3:uid="{00000000-0010-0000-0000-000018000000}" name="PDF該当ページ"/>
    <tableColumn id="25" xr3:uid="{00000000-0010-0000-0000-000019000000}" name="要確認フラグ"/>
    <tableColumn id="26" xr3:uid="{00000000-0010-0000-0000-00001A000000}" name="備考フラ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CDR_Table" displayName="CDR_Table" ref="A1:Q151" totalsRowShown="0">
  <autoFilter ref="A1:Q151" xr:uid="{00000000-0009-0000-0100-000008000000}"/>
  <tableColumns count="17">
    <tableColumn id="1" xr3:uid="{00000000-0010-0000-0100-000001000000}" name="研究番号"/>
    <tableColumn id="2" xr3:uid="{00000000-0010-0000-0100-000002000000}" name="時点"/>
    <tableColumn id="3" xr3:uid="{00000000-0010-0000-0100-000003000000}" name="CDR-SB_原資料記載値"/>
    <tableColumn id="4" xr3:uid="{00000000-0010-0000-0100-000004000000}" name="Global CDR_原資料記載値"/>
    <tableColumn id="5" xr3:uid="{00000000-0010-0000-0100-000005000000}" name="記憶"/>
    <tableColumn id="6" xr3:uid="{00000000-0010-0000-0100-000006000000}" name="見当識"/>
    <tableColumn id="7" xr3:uid="{00000000-0010-0000-0100-000007000000}" name="判断力・問題解決"/>
    <tableColumn id="8" xr3:uid="{00000000-0010-0000-0100-000008000000}" name="地域社会の活動"/>
    <tableColumn id="9" xr3:uid="{00000000-0010-0000-0100-000009000000}" name="家庭・趣味"/>
    <tableColumn id="10" xr3:uid="{00000000-0010-0000-0100-00000A000000}" name="身の回りの世話"/>
    <tableColumn id="11" xr3:uid="{00000000-0010-0000-0100-00000B000000}" name="CDR-SB_自動計算"/>
    <tableColumn id="12" xr3:uid="{00000000-0010-0000-0100-00000C000000}" name="CDR-SB_不一致確認"/>
    <tableColumn id="13" xr3:uid="{00000000-0010-0000-0100-00000D000000}" name="評価日"/>
    <tableColumn id="14" xr3:uid="{00000000-0010-0000-0100-00000E000000}" name="情報源PDF"/>
    <tableColumn id="15" xr3:uid="{00000000-0010-0000-0100-00000F000000}" name="PDF該当ページ"/>
    <tableColumn id="16" xr3:uid="{00000000-0010-0000-0100-000010000000}" name="要確認フラグ"/>
    <tableColumn id="17" xr3:uid="{00000000-0010-0000-0100-000011000000}" name="備考フラ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MoCAJ_Table" displayName="MoCAJ_Table" ref="A1:H151" totalsRowShown="0">
  <autoFilter ref="A1:H151" xr:uid="{00000000-0009-0000-0100-000009000000}"/>
  <tableColumns count="8">
    <tableColumn id="1" xr3:uid="{00000000-0010-0000-0200-000001000000}" name="研究番号"/>
    <tableColumn id="2" xr3:uid="{00000000-0010-0000-0200-000002000000}" name="時点"/>
    <tableColumn id="3" xr3:uid="{00000000-0010-0000-0200-000003000000}" name="合計_原資料記載値"/>
    <tableColumn id="4" xr3:uid="{00000000-0010-0000-0200-000004000000}" name="評価日"/>
    <tableColumn id="5" xr3:uid="{00000000-0010-0000-0200-000005000000}" name="情報源PDF"/>
    <tableColumn id="6" xr3:uid="{00000000-0010-0000-0200-000006000000}" name="PDF該当ページ"/>
    <tableColumn id="7" xr3:uid="{00000000-0010-0000-0200-000007000000}" name="要確認フラグ"/>
    <tableColumn id="8" xr3:uid="{00000000-0010-0000-0200-000008000000}" name="備考フラグ"/>
  </tableColumns>
  <tableStyleInfo name="TableStyleMedium2" showFirstColumn="0" showLastColumn="0" showRowStripes="1" showColumnStripes="0"/>
</table>
</file>

<file path=xl/tables/table4.xml><?xml version="1.0" encoding="utf-8"?>
<x:table xmlns:x="http://schemas.openxmlformats.org/spreadsheetml/2006/main" id="4" name="NPI_Presence" displayName="NPI_Presence" ref="A1:O37" headerRowCount="1" totalsRowCount="0" totalsRowShown="0">
  <x:autoFilter ref="A1:O37"/>
  <x:tableColumns count="15">
    <x:tableColumn id="1" name="研究番号"/>
    <x:tableColumn id="2" name="時点（原票）"/>
    <x:tableColumn id="3" name="評価日"/>
    <x:tableColumn id="4" name="無関心・アパシー&#10;有無（NPI項目7）"/>
    <x:tableColumn id="5" name="易怒性&#10;有無（NPI項目9）"/>
    <x:tableColumn id="6" name="アパシー頻度 F&#10;（原票・1～4）"/>
    <x:tableColumn id="7" name="アパシー重症度 S&#10;（原票・1～3）"/>
    <x:tableColumn id="8" name="NPI-Apathy score&#10;頻度 × 重症度（0～12）"/>
    <x:tableColumn id="9" name="無関心・アパシー&#10;1＝あり／0＝なし"/>
    <x:tableColumn id="10" name="易怒性&#10;1＝あり／0＝なし"/>
    <x:tableColumn id="11" name="評価日（原票記載）"/>
    <x:tableColumn id="12" name="原票注記"/>
    <x:tableColumn id="13" name="情報源PDF"/>
    <x:tableColumn id="14" name="PDFページ"/>
    <x:tableColumn id="15" name="確認事項"/>
  </x:tableColumns>
  <x:tableStyleInfo name="TableStyleMedium2" showFirstColumn="0" showLastColumn="0" showRowStripes="1" showColumnStripes="0"/>
</x: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ReviewLog_Table" displayName="ReviewLog_Table" ref="A1:G15" totalsRowShown="0">
  <autoFilter ref="A1:G15" xr:uid="{00000000-0009-0000-0100-00000B000000}"/>
  <tableColumns count="7">
    <tableColumn id="1" xr3:uid="{00000000-0010-0000-0400-000001000000}" name="研究番号"/>
    <tableColumn id="2" xr3:uid="{00000000-0010-0000-0400-000002000000}" name="時点"/>
    <tableColumn id="3" xr3:uid="{00000000-0010-0000-0400-000003000000}" name="区分"/>
    <tableColumn id="4" xr3:uid="{00000000-0010-0000-0400-000004000000}" name="内容種別"/>
    <tableColumn id="5" xr3:uid="{00000000-0010-0000-0400-000005000000}" name="内容"/>
    <tableColumn id="6" xr3:uid="{00000000-0010-0000-0400-000006000000}" name="情報源PDF"/>
    <tableColumn id="7" xr3:uid="{00000000-0010-0000-0400-000007000000}" name="PDF該当ペー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x:worksheet xmlns:x="http://schemas.openxmlformats.org/spreadsheetml/2006/main">
  <x:sheetFormatPr defaultRowHeight="14.25"/>
  <x:cols>
    <x:col min="1" max="1" width="18" customWidth="1"/>
    <x:col min="2" max="2" width="80" customWidth="1"/>
  </x:cols>
  <x:sheetData>
    <x:row r="1" ht="26.100000381469727" customHeight="1">
      <x:c r="A1" s="53" t="inlineStr">
        <x:is>
          <x:t xml:space="preserve">ドナネマブ研究 D1-30 分割構造マスター</x:t>
        </x:is>
      </x:c>
      <x:c r="B1" s="53"/>
    </x:row>
    <x:row r="2" ht="48" customHeight="1">
      <x:c r="A2" s="80" t="inlineStr">
        <x:is>
          <x:t xml:space="preserve">作成方針</x:t>
        </x:is>
      </x:c>
      <x:c r="B2" s="81" t="str">
        <x:v>1つのExcelファイル内で MMSE / CDR / MoCA-J / NPI を別シート化。NPIは原票1枚につき1行。原票のない研究番号も明示。</x:v>
      </x:c>
    </x:row>
    <x:row r="3" ht="15">
      <x:c r="A3" s="52" t="inlineStr">
        <x:is>
          <x:t xml:space="preserve">MMSE</x:t>
        </x:is>
      </x:c>
      <x:c r="B3" t="inlineStr">
        <x:is>
          <x:t xml:space="preserve">研究番号×時点の縦型。MMSE合計・下位項目・不一致確認・評価日/情報源を収載。</x:t>
        </x:is>
      </x:c>
    </x:row>
    <x:row r="4" ht="15">
      <x:c r="A4" s="52" t="inlineStr">
        <x:is>
          <x:t xml:space="preserve">CDR</x:t>
        </x:is>
      </x:c>
      <x:c r="B4" t="inlineStr">
        <x:is>
          <x:t xml:space="preserve">研究番号×時点の縦型。CDR-SB・Global CDR・CDR下位6領域・評価日/情報源を収載。</x:t>
        </x:is>
      </x:c>
    </x:row>
    <x:row r="5" ht="15">
      <x:c r="A5" s="52" t="inlineStr">
        <x:is>
          <x:t xml:space="preserve">MoCA-J</x:t>
        </x:is>
      </x:c>
      <x:c r="B5" t="inlineStr">
        <x:is>
          <x:t xml:space="preserve">研究番号×時点の縦型。MoCA-J合計・評価日/情報源を収載。</x:t>
        </x:is>
      </x:c>
    </x:row>
    <x:row r="6" ht="64" customHeight="1">
      <x:c r="A6" s="80" t="str">
        <x:v>NPI</x:v>
      </x:c>
      <x:c r="B6" s="81" t="str">
        <x:v>旧「精神症状」シートを削除し、NPI原票の項目7「無関心・アパシー」と項目9「易怒性」の有無に置換。丸印を直接転記。従来の問診値からは補完しない。</x:v>
      </x:c>
    </x:row>
    <x:row r="7" ht="15">
      <x:c r="A7" s="52" t="inlineStr">
        <x:is>
          <x:t xml:space="preserve">統合解析用</x:t>
        </x:is>
      </x:c>
      <x:c r="B7" t="inlineStr">
        <x:is>
          <x:t xml:space="preserve">AI・統計解析用。研究番号×時点で主要評価項目を横断的に1行へ集約。</x:t>
        </x:is>
      </x:c>
    </x:row>
    <x:row r="8" ht="15">
      <x:c r="A8" s="52" t="inlineStr">
        <x:is>
          <x:t xml:space="preserve">要再確認ログ</x:t>
        </x:is>
      </x:c>
      <x:c r="B8" t="inlineStr">
        <x:is>
          <x:t xml:space="preserve">備考・要再確認事項の詳細を別管理。メインシート側は短いフラグ表示。</x:t>
        </x:is>
      </x:c>
    </x:row>
    <x:row r="9" ht="15">
      <x:c r="A9" s="52" t="inlineStr">
        <x:is>
          <x:t xml:space="preserve">注意</x:t>
        </x:is>
      </x:c>
      <x:c r="B9" t="inlineStr">
        <x:is>
          <x:t xml:space="preserve">このファイルでは元の横長一覧を直接編集せず、解析しやすい縦型シートに再構成しています。</x:t>
        </x:is>
      </x:c>
    </x:row>
    <x:row r="11" ht="54" customHeight="1">
      <x:c r="A11" s="77" t="str">
        <x:v>NPIの対象原票</x:v>
      </x:c>
      <x:c r="B11" s="71" t="str">
        <x:v>ドナネマブのNPI、9.18取り込み(1).pdf（全14ページ）。8症例・14回の評価。D1、D2、D18～D23の記録を収載。</x:v>
      </x:c>
    </x:row>
    <x:row r="12" ht="54" customHeight="1">
      <x:c r="A12" s="77" t="str">
        <x:v>有無と解析用コード</x:v>
      </x:c>
      <x:c r="B12" s="71" t="str">
        <x:v>「あり」＝1、「なし」＝0。解析用コードは有無欄から自動計算。「原票なし」「判定不能」は数値欄を空欄とし、0で補完しない。</x:v>
      </x:c>
    </x:row>
    <x:row r="13" ht="54" customHeight="1">
      <x:c r="A13" s="77" t="str">
        <x:v>時点・評価日</x:v>
      </x:c>
      <x:c r="B13" s="71" t="str">
        <x:v>時点は原票どおり。「初回」は治療開始時（0か月）を意味するとは限らない。時点の記載がない場合は推測せず「記載なし」。年月のみの日付は原票記載欄に残す。</x:v>
      </x:c>
    </x:row>
    <x:row r="14" ht="54" customHeight="1">
      <x:c r="A14" s="77" t="str">
        <x:v>推定の注記</x:v>
      </x:c>
      <x:c r="B14" s="71" t="str">
        <x:v>p.6・p.10に「推」、p.12・p.13に「推定」の注記あり。有無は原票どおり転記し、推定の対象・方法の確認が必要な記録として区別。</x:v>
      </x:c>
    </x:row>
    <x:row r="15" ht="54" customHeight="1">
      <x:c r="A15" s="77" t="str">
        <x:v>欠測の扱い</x:v>
      </x:c>
      <x:c r="B15" s="71" t="str">
        <x:v>添付PDFに該当原票がない22症例は「原票なし」と表示。未実施や症状なしとは判定していない。原票のない評価時点を新たに作成していない。</x:v>
      </x:c>
    </x:row>
    <x:row r="16" ht="54" customHeight="1">
      <x:c r="A16" s="77" t="str">
        <x:v>照合方法</x:v>
      </x:c>
      <x:c r="B16" s="71" t="str">
        <x:v>PDFページ欄は添付PDFの先頭から数えたページ番号。研究番号は原票上の手書き番号を使用。氏名・患者IDは転記していない。</x:v>
      </x:c>
    </x:row>
    <x:row r="18" ht="65" customHeight="1">
      <x:c r="A18" s="117" t="str">
        <x:v>NPI-Apathy score</x:v>
      </x:c>
      <x:c r="B18" s="111" t="str">
        <x:v>NPI項目7の頻度F×重症度Sで計算（0～12点）。頻度・重症度は原票の記載値を転記。p.2のD1：2×1＝2点、p.1のD2：1×1＝1点。</x:v>
      </x:c>
    </x:row>
    <x:row r="19" ht="65" customHeight="1">
      <x:c r="A19" s="117" t="str">
        <x:v>0点と欠測</x:v>
      </x:c>
      <x:c r="B19" s="111" t="str">
        <x:v>原票で「なし」に丸印がある12回分は0点。頻度・重症度の原票空欄は保持。「原票なし」22症例や、症状ありでも頻度・重症度が不足する場合はスコアを空欄とする。原票の推定注記も保持。</x:v>
      </x:c>
    </x:row>
    <x:row r="21" ht="80" customHeight="1">
      <x:c r="A21" s="117" t="str">
        <x:v>アパシー消失時の入力ルール</x:v>
      </x:c>
      <x:c r="B21" s="111" t="str">
        <x:v>同一症例で0か月のNPI-Apathy scoreが1以上、かつ18か月のアパシーが「なし」の場合、18か月の頻度＝0、重症度＝0、NPI-Apathy score＝0とする。原票の頻度・重症度が空欄でも、この条件下では研究用の入力値を0とする。</x:v>
      </x:c>
    </x:row>
    <x:row r="22" ht="80" customHeight="1">
      <x:c r="A22" s="117" t="str">
        <x:v>今回の適用確認</x:v>
      </x:c>
      <x:c r="B22" s="111" t="str">
        <x:v>現時点のドナネマブNPIシートに18か月の記録はなく、該当行は0件。数値の変更なし。初回・6か月を18か月へ読み替えない。原票なしは欠測のまま保持する。</x:v>
      </x:c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"/>
  <sheetViews>
    <sheetView zoomScaleNormal="100" workbookViewId="0">
      <pane xSplit="1" ySplit="1" topLeftCell="I107" activePane="bottomRight" state="frozen"/>
      <selection pane="topRight" activeCell="B1" sqref="B1"/>
      <selection pane="bottomLeft" activeCell="A2" sqref="A2"/>
      <selection pane="bottomRight" activeCell="T147" sqref="T147"/>
    </sheetView>
  </sheetViews>
  <sheetFormatPr defaultRowHeight="14.25"/>
  <cols>
    <col min="1" max="2" width="11" customWidth="1"/>
    <col min="3" max="3" width="18" customWidth="1"/>
    <col min="4" max="19" width="14" customWidth="1"/>
    <col min="20" max="21" width="18" customWidth="1"/>
    <col min="22" max="22" width="14" customWidth="1"/>
    <col min="23" max="24" width="24" customWidth="1"/>
    <col min="25" max="26" width="18" customWidth="1"/>
  </cols>
  <sheetData>
    <row r="1" spans="1:26" ht="32.1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3" t="s">
        <v>31</v>
      </c>
      <c r="P1" s="3" t="s">
        <v>32</v>
      </c>
      <c r="Q1" s="3" t="s">
        <v>33</v>
      </c>
      <c r="R1" s="3" t="s">
        <v>34</v>
      </c>
      <c r="S1" s="3" t="s">
        <v>35</v>
      </c>
      <c r="T1" s="3" t="s">
        <v>36</v>
      </c>
      <c r="U1" s="3" t="s">
        <v>37</v>
      </c>
      <c r="V1" s="3" t="s">
        <v>38</v>
      </c>
      <c r="W1" s="3" t="s">
        <v>39</v>
      </c>
      <c r="X1" s="3" t="s">
        <v>40</v>
      </c>
      <c r="Y1" s="3" t="s">
        <v>41</v>
      </c>
      <c r="Z1" s="3" t="s">
        <v>42</v>
      </c>
    </row>
    <row r="2" spans="1:26">
      <c r="A2" s="4" t="s">
        <v>43</v>
      </c>
      <c r="B2" s="4" t="s">
        <v>44</v>
      </c>
      <c r="C2" s="4">
        <v>20</v>
      </c>
      <c r="D2" s="4">
        <v>4</v>
      </c>
      <c r="E2" s="4">
        <v>4</v>
      </c>
      <c r="F2" s="4">
        <v>1</v>
      </c>
      <c r="G2" s="4">
        <v>0</v>
      </c>
      <c r="H2" s="4">
        <v>1</v>
      </c>
      <c r="I2" s="4">
        <v>1</v>
      </c>
      <c r="J2" s="4">
        <v>1</v>
      </c>
      <c r="K2" s="4">
        <v>2</v>
      </c>
      <c r="L2" s="4">
        <v>3</v>
      </c>
      <c r="M2" s="4">
        <v>1</v>
      </c>
      <c r="N2" s="4">
        <v>0</v>
      </c>
      <c r="O2" s="4">
        <v>0</v>
      </c>
      <c r="P2" s="4">
        <v>1</v>
      </c>
      <c r="Q2" s="4">
        <v>3</v>
      </c>
      <c r="R2" s="4">
        <v>1</v>
      </c>
      <c r="S2" s="4">
        <v>1</v>
      </c>
      <c r="T2" s="4">
        <v>20</v>
      </c>
      <c r="U2" s="8" t="s">
        <v>45</v>
      </c>
      <c r="V2" s="4" t="s">
        <v>46</v>
      </c>
      <c r="W2" s="4" t="s">
        <v>47</v>
      </c>
      <c r="X2" s="4" t="s">
        <v>48</v>
      </c>
      <c r="Y2" s="4"/>
      <c r="Z2" s="8"/>
    </row>
    <row r="3" spans="1:26">
      <c r="A3" s="5" t="s">
        <v>43</v>
      </c>
      <c r="B3" s="5" t="s">
        <v>49</v>
      </c>
      <c r="C3" s="5">
        <v>20</v>
      </c>
      <c r="D3" s="5">
        <v>3</v>
      </c>
      <c r="E3" s="5">
        <v>4</v>
      </c>
      <c r="F3" s="5">
        <v>1</v>
      </c>
      <c r="G3" s="5">
        <v>1</v>
      </c>
      <c r="H3" s="5">
        <v>1</v>
      </c>
      <c r="I3" s="5">
        <v>0</v>
      </c>
      <c r="J3" s="5">
        <v>1</v>
      </c>
      <c r="K3" s="5">
        <v>2</v>
      </c>
      <c r="L3" s="5">
        <v>3</v>
      </c>
      <c r="M3" s="5">
        <v>1</v>
      </c>
      <c r="N3" s="5">
        <v>0</v>
      </c>
      <c r="O3" s="5">
        <v>1</v>
      </c>
      <c r="P3" s="5">
        <v>1</v>
      </c>
      <c r="Q3" s="5">
        <v>3</v>
      </c>
      <c r="R3" s="5">
        <v>1</v>
      </c>
      <c r="S3" s="5">
        <v>1</v>
      </c>
      <c r="T3" s="5">
        <v>20</v>
      </c>
      <c r="U3" s="8" t="s">
        <v>45</v>
      </c>
      <c r="V3" s="5" t="s">
        <v>50</v>
      </c>
      <c r="W3" s="5" t="s">
        <v>47</v>
      </c>
      <c r="X3" s="5" t="s">
        <v>51</v>
      </c>
      <c r="Y3" s="5"/>
      <c r="Z3" s="5"/>
    </row>
    <row r="4" spans="1:26">
      <c r="A4" s="4" t="s">
        <v>43</v>
      </c>
      <c r="B4" s="4" t="s">
        <v>52</v>
      </c>
      <c r="C4" s="4">
        <v>22</v>
      </c>
      <c r="D4" s="4">
        <v>3</v>
      </c>
      <c r="E4" s="4">
        <v>5</v>
      </c>
      <c r="F4" s="4">
        <v>1</v>
      </c>
      <c r="G4" s="4">
        <v>1</v>
      </c>
      <c r="H4" s="4">
        <v>1</v>
      </c>
      <c r="I4" s="4">
        <v>1</v>
      </c>
      <c r="J4" s="4">
        <v>1</v>
      </c>
      <c r="K4" s="4">
        <v>2</v>
      </c>
      <c r="L4" s="4">
        <v>3</v>
      </c>
      <c r="M4" s="4">
        <v>2</v>
      </c>
      <c r="N4" s="4">
        <v>0</v>
      </c>
      <c r="O4" s="4">
        <v>1</v>
      </c>
      <c r="P4" s="4">
        <v>1</v>
      </c>
      <c r="Q4" s="4">
        <v>3</v>
      </c>
      <c r="R4" s="4">
        <v>1</v>
      </c>
      <c r="S4" s="4">
        <v>1</v>
      </c>
      <c r="T4" s="4">
        <v>22</v>
      </c>
      <c r="U4" s="8" t="s">
        <v>45</v>
      </c>
      <c r="V4" s="4" t="s">
        <v>53</v>
      </c>
      <c r="W4" s="4" t="s">
        <v>47</v>
      </c>
      <c r="X4" s="4" t="s">
        <v>54</v>
      </c>
      <c r="Y4" s="4"/>
      <c r="Z4" s="4"/>
    </row>
    <row r="5" spans="1:26">
      <c r="A5" s="5" t="s">
        <v>43</v>
      </c>
      <c r="B5" s="5" t="s">
        <v>55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8"/>
      <c r="V5" s="5"/>
      <c r="W5" s="5"/>
      <c r="X5" s="5"/>
      <c r="Y5" s="5"/>
      <c r="Z5" s="5"/>
    </row>
    <row r="6" spans="1:26">
      <c r="A6" s="4" t="s">
        <v>43</v>
      </c>
      <c r="B6" s="4" t="s">
        <v>56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8"/>
      <c r="V6" s="4"/>
      <c r="W6" s="4"/>
      <c r="X6" s="4"/>
      <c r="Y6" s="4"/>
      <c r="Z6" s="8"/>
    </row>
    <row r="7" spans="1:26">
      <c r="A7" s="5" t="s">
        <v>57</v>
      </c>
      <c r="B7" s="5" t="s">
        <v>44</v>
      </c>
      <c r="C7" s="5">
        <v>22</v>
      </c>
      <c r="D7" s="5">
        <v>2</v>
      </c>
      <c r="E7" s="5">
        <v>5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2</v>
      </c>
      <c r="L7" s="5">
        <v>3</v>
      </c>
      <c r="M7" s="5">
        <v>3</v>
      </c>
      <c r="N7" s="5">
        <v>0</v>
      </c>
      <c r="O7" s="5">
        <v>1</v>
      </c>
      <c r="P7" s="5">
        <v>1</v>
      </c>
      <c r="Q7" s="5">
        <v>3</v>
      </c>
      <c r="R7" s="5">
        <v>1</v>
      </c>
      <c r="S7" s="5">
        <v>1</v>
      </c>
      <c r="T7" s="5">
        <v>22</v>
      </c>
      <c r="U7" s="8" t="s">
        <v>45</v>
      </c>
      <c r="V7" s="5" t="s">
        <v>58</v>
      </c>
      <c r="W7" s="5" t="s">
        <v>59</v>
      </c>
      <c r="X7" s="5" t="s">
        <v>48</v>
      </c>
      <c r="Y7" s="8"/>
      <c r="Z7" s="5"/>
    </row>
    <row r="8" spans="1:26">
      <c r="A8" s="4" t="s">
        <v>57</v>
      </c>
      <c r="B8" s="4" t="s">
        <v>49</v>
      </c>
      <c r="C8" s="4">
        <v>21</v>
      </c>
      <c r="D8" s="4">
        <v>3</v>
      </c>
      <c r="E8" s="4">
        <v>4</v>
      </c>
      <c r="F8" s="4">
        <v>1</v>
      </c>
      <c r="G8" s="4">
        <v>1</v>
      </c>
      <c r="H8" s="4">
        <v>1</v>
      </c>
      <c r="I8" s="4">
        <v>0</v>
      </c>
      <c r="J8" s="4">
        <v>1</v>
      </c>
      <c r="K8" s="4">
        <v>2</v>
      </c>
      <c r="L8" s="4">
        <v>3</v>
      </c>
      <c r="M8" s="4">
        <v>3</v>
      </c>
      <c r="N8" s="4">
        <v>0</v>
      </c>
      <c r="O8" s="4">
        <v>0</v>
      </c>
      <c r="P8" s="4">
        <v>1</v>
      </c>
      <c r="Q8" s="4">
        <v>3</v>
      </c>
      <c r="R8" s="4">
        <v>1</v>
      </c>
      <c r="S8" s="4">
        <v>1</v>
      </c>
      <c r="T8" s="4">
        <v>21</v>
      </c>
      <c r="U8" s="8" t="s">
        <v>45</v>
      </c>
      <c r="V8" s="4" t="s">
        <v>50</v>
      </c>
      <c r="W8" s="4" t="s">
        <v>59</v>
      </c>
      <c r="X8" s="4" t="s">
        <v>51</v>
      </c>
      <c r="Y8" s="4"/>
      <c r="Z8" s="4"/>
    </row>
    <row r="9" spans="1:26">
      <c r="A9" s="5" t="s">
        <v>57</v>
      </c>
      <c r="B9" s="5" t="s">
        <v>52</v>
      </c>
      <c r="C9" s="5">
        <v>20</v>
      </c>
      <c r="D9" s="5">
        <v>2</v>
      </c>
      <c r="E9" s="5">
        <v>4</v>
      </c>
      <c r="F9" s="5">
        <v>1</v>
      </c>
      <c r="G9" s="5">
        <v>1</v>
      </c>
      <c r="H9" s="5">
        <v>1</v>
      </c>
      <c r="I9" s="5">
        <v>0</v>
      </c>
      <c r="J9" s="5">
        <v>1</v>
      </c>
      <c r="K9" s="5">
        <v>2</v>
      </c>
      <c r="L9" s="5">
        <v>3</v>
      </c>
      <c r="M9" s="5">
        <v>2</v>
      </c>
      <c r="N9" s="5">
        <v>0</v>
      </c>
      <c r="O9" s="5">
        <v>1</v>
      </c>
      <c r="P9" s="5">
        <v>1</v>
      </c>
      <c r="Q9" s="5">
        <v>3</v>
      </c>
      <c r="R9" s="5">
        <v>1</v>
      </c>
      <c r="S9" s="5">
        <v>1</v>
      </c>
      <c r="T9" s="5">
        <v>20</v>
      </c>
      <c r="U9" s="8" t="s">
        <v>45</v>
      </c>
      <c r="V9" s="5" t="s">
        <v>53</v>
      </c>
      <c r="W9" s="5" t="s">
        <v>59</v>
      </c>
      <c r="X9" s="5" t="s">
        <v>54</v>
      </c>
      <c r="Y9" s="5"/>
      <c r="Z9" s="8"/>
    </row>
    <row r="10" spans="1:26">
      <c r="A10" s="4" t="s">
        <v>57</v>
      </c>
      <c r="B10" s="4" t="s">
        <v>55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8"/>
      <c r="V10" s="4"/>
      <c r="W10" s="4"/>
      <c r="X10" s="4"/>
      <c r="Y10" s="4"/>
      <c r="Z10" s="8"/>
    </row>
    <row r="11" spans="1:26">
      <c r="A11" s="5" t="s">
        <v>57</v>
      </c>
      <c r="B11" s="5" t="s">
        <v>56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8"/>
      <c r="V11" s="5"/>
      <c r="W11" s="5"/>
      <c r="X11" s="5"/>
      <c r="Y11" s="8"/>
      <c r="Z11" s="8"/>
    </row>
    <row r="12" spans="1:26">
      <c r="A12" s="4" t="s">
        <v>60</v>
      </c>
      <c r="B12" s="4" t="s">
        <v>44</v>
      </c>
      <c r="C12" s="4">
        <v>27</v>
      </c>
      <c r="D12" s="4">
        <v>5</v>
      </c>
      <c r="E12" s="4">
        <v>5</v>
      </c>
      <c r="F12" s="4">
        <v>1</v>
      </c>
      <c r="G12" s="4">
        <v>1</v>
      </c>
      <c r="H12" s="4">
        <v>1</v>
      </c>
      <c r="I12" s="4">
        <v>1</v>
      </c>
      <c r="J12" s="4">
        <v>1</v>
      </c>
      <c r="K12" s="4">
        <v>2</v>
      </c>
      <c r="L12" s="4">
        <v>3</v>
      </c>
      <c r="M12" s="4">
        <v>5</v>
      </c>
      <c r="N12" s="4">
        <v>0</v>
      </c>
      <c r="O12" s="4">
        <v>1</v>
      </c>
      <c r="P12" s="4">
        <v>1</v>
      </c>
      <c r="Q12" s="4">
        <v>3</v>
      </c>
      <c r="R12" s="4">
        <v>1</v>
      </c>
      <c r="S12" s="4">
        <v>1</v>
      </c>
      <c r="T12" s="4">
        <v>27</v>
      </c>
      <c r="U12" s="8" t="s">
        <v>45</v>
      </c>
      <c r="V12" s="4" t="s">
        <v>61</v>
      </c>
      <c r="W12" s="4" t="s">
        <v>62</v>
      </c>
      <c r="X12" s="4" t="s">
        <v>48</v>
      </c>
      <c r="Y12" s="8"/>
      <c r="Z12" s="8"/>
    </row>
    <row r="13" spans="1:26">
      <c r="A13" s="5" t="s">
        <v>60</v>
      </c>
      <c r="B13" s="5" t="s">
        <v>49</v>
      </c>
      <c r="C13" s="5">
        <v>26</v>
      </c>
      <c r="D13" s="5">
        <v>5</v>
      </c>
      <c r="E13" s="5">
        <v>5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2</v>
      </c>
      <c r="L13" s="5">
        <v>3</v>
      </c>
      <c r="M13" s="5">
        <v>4</v>
      </c>
      <c r="N13" s="5">
        <v>0</v>
      </c>
      <c r="O13" s="5">
        <v>1</v>
      </c>
      <c r="P13" s="5">
        <v>1</v>
      </c>
      <c r="Q13" s="5">
        <v>3</v>
      </c>
      <c r="R13" s="5">
        <v>1</v>
      </c>
      <c r="S13" s="5">
        <v>1</v>
      </c>
      <c r="T13" s="5">
        <v>26</v>
      </c>
      <c r="U13" s="8" t="s">
        <v>45</v>
      </c>
      <c r="V13" s="5" t="s">
        <v>63</v>
      </c>
      <c r="W13" s="5" t="s">
        <v>62</v>
      </c>
      <c r="X13" s="5" t="s">
        <v>51</v>
      </c>
      <c r="Y13" s="5"/>
      <c r="Z13" s="5"/>
    </row>
    <row r="14" spans="1:26">
      <c r="A14" s="4" t="s">
        <v>60</v>
      </c>
      <c r="B14" s="4" t="s">
        <v>52</v>
      </c>
      <c r="C14" s="4">
        <v>26</v>
      </c>
      <c r="D14" s="4">
        <v>3</v>
      </c>
      <c r="E14" s="4">
        <v>5</v>
      </c>
      <c r="F14" s="4">
        <v>1</v>
      </c>
      <c r="G14" s="4">
        <v>1</v>
      </c>
      <c r="H14" s="4">
        <v>1</v>
      </c>
      <c r="I14" s="4">
        <v>1</v>
      </c>
      <c r="J14" s="4">
        <v>1</v>
      </c>
      <c r="K14" s="4">
        <v>2</v>
      </c>
      <c r="L14" s="4">
        <v>3</v>
      </c>
      <c r="M14" s="4">
        <v>4</v>
      </c>
      <c r="N14" s="4">
        <v>2</v>
      </c>
      <c r="O14" s="4">
        <v>1</v>
      </c>
      <c r="P14" s="4">
        <v>1</v>
      </c>
      <c r="Q14" s="4">
        <v>3</v>
      </c>
      <c r="R14" s="4">
        <v>1</v>
      </c>
      <c r="S14" s="4">
        <v>1</v>
      </c>
      <c r="T14" s="4">
        <v>26</v>
      </c>
      <c r="U14" s="8"/>
      <c r="V14" s="4" t="s">
        <v>64</v>
      </c>
      <c r="W14" s="4" t="s">
        <v>62</v>
      </c>
      <c r="X14" s="4" t="s">
        <v>54</v>
      </c>
      <c r="Y14" s="4" t="s">
        <v>65</v>
      </c>
      <c r="Z14" s="4"/>
    </row>
    <row r="15" spans="1:26">
      <c r="A15" s="5" t="s">
        <v>60</v>
      </c>
      <c r="B15" s="5" t="s">
        <v>55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8"/>
      <c r="V15" s="5"/>
      <c r="W15" s="5"/>
      <c r="X15" s="5"/>
      <c r="Y15" s="5"/>
      <c r="Z15" s="8"/>
    </row>
    <row r="16" spans="1:26">
      <c r="A16" s="4" t="s">
        <v>60</v>
      </c>
      <c r="B16" s="4" t="s">
        <v>56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8"/>
      <c r="V16" s="4"/>
      <c r="W16" s="4"/>
      <c r="X16" s="4"/>
      <c r="Y16" s="4"/>
      <c r="Z16" s="8"/>
    </row>
    <row r="17" spans="1:26">
      <c r="A17" s="5" t="s">
        <v>66</v>
      </c>
      <c r="B17" s="5" t="s">
        <v>44</v>
      </c>
      <c r="C17" s="5">
        <v>22</v>
      </c>
      <c r="D17" s="5">
        <v>1</v>
      </c>
      <c r="E17" s="5">
        <v>5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2</v>
      </c>
      <c r="L17" s="5">
        <v>3</v>
      </c>
      <c r="M17" s="5">
        <v>4</v>
      </c>
      <c r="N17" s="5">
        <v>0</v>
      </c>
      <c r="O17" s="5">
        <v>1</v>
      </c>
      <c r="P17" s="5">
        <v>1</v>
      </c>
      <c r="Q17" s="5">
        <v>3</v>
      </c>
      <c r="R17" s="5">
        <v>1</v>
      </c>
      <c r="S17" s="5">
        <v>1</v>
      </c>
      <c r="T17" s="5">
        <v>22</v>
      </c>
      <c r="U17" s="8" t="s">
        <v>45</v>
      </c>
      <c r="V17" s="5" t="s">
        <v>67</v>
      </c>
      <c r="W17" s="5" t="s">
        <v>68</v>
      </c>
      <c r="X17" s="5" t="s">
        <v>48</v>
      </c>
      <c r="Y17" s="8"/>
      <c r="Z17" s="8"/>
    </row>
    <row r="18" spans="1:26">
      <c r="A18" s="4" t="s">
        <v>66</v>
      </c>
      <c r="B18" s="4" t="s">
        <v>49</v>
      </c>
      <c r="C18" s="4">
        <v>22</v>
      </c>
      <c r="D18" s="4">
        <v>0</v>
      </c>
      <c r="E18" s="4">
        <v>5</v>
      </c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2</v>
      </c>
      <c r="L18" s="4">
        <v>3</v>
      </c>
      <c r="M18" s="4">
        <v>5</v>
      </c>
      <c r="N18" s="4">
        <v>0</v>
      </c>
      <c r="O18" s="4">
        <v>1</v>
      </c>
      <c r="P18" s="4">
        <v>1</v>
      </c>
      <c r="Q18" s="4">
        <v>3</v>
      </c>
      <c r="R18" s="4">
        <v>1</v>
      </c>
      <c r="S18" s="4">
        <v>1</v>
      </c>
      <c r="T18" s="4">
        <v>22</v>
      </c>
      <c r="U18" s="8"/>
      <c r="V18" s="4" t="s">
        <v>69</v>
      </c>
      <c r="W18" s="4" t="s">
        <v>68</v>
      </c>
      <c r="X18" s="4" t="s">
        <v>51</v>
      </c>
      <c r="Y18" s="4" t="s">
        <v>65</v>
      </c>
      <c r="Z18" s="4"/>
    </row>
    <row r="19" spans="1:26">
      <c r="A19" s="5" t="s">
        <v>66</v>
      </c>
      <c r="B19" s="5" t="s">
        <v>52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8"/>
      <c r="V19" s="5"/>
      <c r="W19" s="5"/>
      <c r="X19" s="5"/>
      <c r="Y19" s="5"/>
      <c r="Z19" s="8"/>
    </row>
    <row r="20" spans="1:26">
      <c r="A20" s="4" t="s">
        <v>66</v>
      </c>
      <c r="B20" s="4" t="s">
        <v>55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8"/>
      <c r="V20" s="4"/>
      <c r="W20" s="4"/>
      <c r="X20" s="4"/>
      <c r="Y20" s="4"/>
      <c r="Z20" s="4"/>
    </row>
    <row r="21" spans="1:26">
      <c r="A21" s="5" t="s">
        <v>66</v>
      </c>
      <c r="B21" s="5" t="s">
        <v>56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8"/>
      <c r="V21" s="5"/>
      <c r="W21" s="5"/>
      <c r="X21" s="5"/>
      <c r="Y21" s="5"/>
      <c r="Z21" s="8"/>
    </row>
    <row r="22" spans="1:26">
      <c r="A22" s="4" t="s">
        <v>70</v>
      </c>
      <c r="B22" s="4" t="s">
        <v>44</v>
      </c>
      <c r="C22" s="4">
        <v>24</v>
      </c>
      <c r="D22" s="4">
        <v>3</v>
      </c>
      <c r="E22" s="4">
        <v>5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2</v>
      </c>
      <c r="L22" s="4">
        <v>3</v>
      </c>
      <c r="M22" s="4">
        <v>5</v>
      </c>
      <c r="N22" s="4">
        <v>0</v>
      </c>
      <c r="O22" s="4">
        <v>1</v>
      </c>
      <c r="P22" s="4">
        <v>1</v>
      </c>
      <c r="Q22" s="4">
        <v>2</v>
      </c>
      <c r="R22" s="4">
        <v>1</v>
      </c>
      <c r="S22" s="4">
        <v>1</v>
      </c>
      <c r="T22" s="4">
        <v>24</v>
      </c>
      <c r="U22" s="8" t="s">
        <v>45</v>
      </c>
      <c r="V22" s="4" t="s">
        <v>71</v>
      </c>
      <c r="W22" s="4" t="s">
        <v>72</v>
      </c>
      <c r="X22" s="4" t="s">
        <v>48</v>
      </c>
      <c r="Y22" s="8"/>
      <c r="Z22" s="8"/>
    </row>
    <row r="23" spans="1:26">
      <c r="A23" s="5" t="s">
        <v>70</v>
      </c>
      <c r="B23" s="5" t="s">
        <v>49</v>
      </c>
      <c r="C23" s="5">
        <v>23</v>
      </c>
      <c r="D23" s="5">
        <v>1</v>
      </c>
      <c r="E23" s="5">
        <v>5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2</v>
      </c>
      <c r="L23" s="5">
        <v>3</v>
      </c>
      <c r="M23" s="5">
        <v>5</v>
      </c>
      <c r="N23" s="5">
        <v>0</v>
      </c>
      <c r="O23" s="5">
        <v>1</v>
      </c>
      <c r="P23" s="5">
        <v>1</v>
      </c>
      <c r="Q23" s="5">
        <v>3</v>
      </c>
      <c r="R23" s="5">
        <v>1</v>
      </c>
      <c r="S23" s="5">
        <v>1</v>
      </c>
      <c r="T23" s="5">
        <v>23</v>
      </c>
      <c r="U23" s="8" t="s">
        <v>45</v>
      </c>
      <c r="V23" s="5" t="s">
        <v>73</v>
      </c>
      <c r="W23" s="5" t="s">
        <v>72</v>
      </c>
      <c r="X23" s="5" t="s">
        <v>51</v>
      </c>
      <c r="Y23" s="5"/>
      <c r="Z23" s="5"/>
    </row>
    <row r="24" spans="1:26">
      <c r="A24" s="4" t="s">
        <v>70</v>
      </c>
      <c r="B24" s="4" t="s">
        <v>52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8"/>
      <c r="V24" s="4"/>
      <c r="W24" s="4"/>
      <c r="X24" s="4"/>
      <c r="Y24" s="4"/>
      <c r="Z24" s="4"/>
    </row>
    <row r="25" spans="1:26">
      <c r="A25" s="5" t="s">
        <v>70</v>
      </c>
      <c r="B25" s="5" t="s">
        <v>55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8"/>
      <c r="V25" s="5"/>
      <c r="W25" s="5"/>
      <c r="X25" s="5"/>
      <c r="Y25" s="5"/>
      <c r="Z25" s="8"/>
    </row>
    <row r="26" spans="1:26">
      <c r="A26" s="4" t="s">
        <v>70</v>
      </c>
      <c r="B26" s="4" t="s">
        <v>56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8"/>
      <c r="V26" s="4"/>
      <c r="W26" s="4"/>
      <c r="X26" s="4"/>
      <c r="Y26" s="4"/>
      <c r="Z26" s="8"/>
    </row>
    <row r="27" spans="1:26">
      <c r="A27" s="5" t="s">
        <v>74</v>
      </c>
      <c r="B27" s="5" t="s">
        <v>44</v>
      </c>
      <c r="C27" s="5">
        <v>28</v>
      </c>
      <c r="D27" s="5">
        <v>4</v>
      </c>
      <c r="E27" s="5">
        <v>5</v>
      </c>
      <c r="F27" s="5">
        <v>1</v>
      </c>
      <c r="G27" s="5">
        <v>1</v>
      </c>
      <c r="H27" s="5">
        <v>1</v>
      </c>
      <c r="I27" s="5">
        <v>1</v>
      </c>
      <c r="J27" s="5">
        <v>1</v>
      </c>
      <c r="K27" s="5">
        <v>2</v>
      </c>
      <c r="L27" s="5">
        <v>3</v>
      </c>
      <c r="M27" s="5">
        <v>4</v>
      </c>
      <c r="N27" s="5">
        <v>3</v>
      </c>
      <c r="O27" s="5">
        <v>1</v>
      </c>
      <c r="P27" s="5">
        <v>1</v>
      </c>
      <c r="Q27" s="5">
        <v>3</v>
      </c>
      <c r="R27" s="5">
        <v>1</v>
      </c>
      <c r="S27" s="5">
        <v>1</v>
      </c>
      <c r="T27" s="5">
        <v>28</v>
      </c>
      <c r="U27" s="8" t="s">
        <v>45</v>
      </c>
      <c r="V27" s="5" t="s">
        <v>75</v>
      </c>
      <c r="W27" s="5" t="s">
        <v>76</v>
      </c>
      <c r="X27" s="5" t="s">
        <v>48</v>
      </c>
      <c r="Y27" s="8"/>
      <c r="Z27" s="8"/>
    </row>
    <row r="28" spans="1:26">
      <c r="A28" s="4" t="s">
        <v>74</v>
      </c>
      <c r="B28" s="4" t="s">
        <v>49</v>
      </c>
      <c r="C28" s="4">
        <v>30</v>
      </c>
      <c r="D28" s="4">
        <v>5</v>
      </c>
      <c r="E28" s="4">
        <v>5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2</v>
      </c>
      <c r="L28" s="4">
        <v>3</v>
      </c>
      <c r="M28" s="4">
        <v>5</v>
      </c>
      <c r="N28" s="4">
        <v>3</v>
      </c>
      <c r="O28" s="4">
        <v>1</v>
      </c>
      <c r="P28" s="4">
        <v>1</v>
      </c>
      <c r="Q28" s="4">
        <v>3</v>
      </c>
      <c r="R28" s="4">
        <v>1</v>
      </c>
      <c r="S28" s="4">
        <v>1</v>
      </c>
      <c r="T28" s="4">
        <v>30</v>
      </c>
      <c r="U28" s="8" t="s">
        <v>45</v>
      </c>
      <c r="V28" s="4" t="s">
        <v>77</v>
      </c>
      <c r="W28" s="4" t="s">
        <v>76</v>
      </c>
      <c r="X28" s="4" t="s">
        <v>51</v>
      </c>
      <c r="Y28" s="4"/>
      <c r="Z28" s="4"/>
    </row>
    <row r="29" spans="1:26">
      <c r="A29" s="5" t="s">
        <v>74</v>
      </c>
      <c r="B29" s="5" t="s">
        <v>52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8"/>
      <c r="V29" s="5"/>
      <c r="W29" s="5"/>
      <c r="X29" s="5"/>
      <c r="Y29" s="5"/>
      <c r="Z29" s="8"/>
    </row>
    <row r="30" spans="1:26">
      <c r="A30" s="4" t="s">
        <v>74</v>
      </c>
      <c r="B30" s="4" t="s">
        <v>55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8"/>
      <c r="V30" s="4"/>
      <c r="W30" s="4"/>
      <c r="X30" s="4"/>
      <c r="Y30" s="4"/>
      <c r="Z30" s="8"/>
    </row>
    <row r="31" spans="1:26">
      <c r="A31" s="5" t="s">
        <v>74</v>
      </c>
      <c r="B31" s="5" t="s">
        <v>56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8"/>
      <c r="V31" s="5"/>
      <c r="W31" s="5"/>
      <c r="X31" s="5"/>
      <c r="Y31" s="5"/>
      <c r="Z31" s="8"/>
    </row>
    <row r="32" spans="1:26">
      <c r="A32" s="4" t="s">
        <v>78</v>
      </c>
      <c r="B32" s="4" t="s">
        <v>44</v>
      </c>
      <c r="C32" s="4">
        <v>27</v>
      </c>
      <c r="D32" s="4">
        <v>4</v>
      </c>
      <c r="E32" s="4">
        <v>5</v>
      </c>
      <c r="F32" s="4">
        <v>1</v>
      </c>
      <c r="G32" s="4">
        <v>1</v>
      </c>
      <c r="H32" s="4">
        <v>1</v>
      </c>
      <c r="I32" s="4">
        <v>1</v>
      </c>
      <c r="J32" s="4">
        <v>1</v>
      </c>
      <c r="K32" s="4">
        <v>2</v>
      </c>
      <c r="L32" s="4">
        <v>3</v>
      </c>
      <c r="M32" s="4">
        <v>5</v>
      </c>
      <c r="N32" s="4">
        <v>1</v>
      </c>
      <c r="O32" s="4">
        <v>1</v>
      </c>
      <c r="P32" s="4">
        <v>1</v>
      </c>
      <c r="Q32" s="4">
        <v>3</v>
      </c>
      <c r="R32" s="4">
        <v>1</v>
      </c>
      <c r="S32" s="4">
        <v>1</v>
      </c>
      <c r="T32" s="4">
        <v>27</v>
      </c>
      <c r="U32" s="8" t="s">
        <v>45</v>
      </c>
      <c r="V32" s="4" t="s">
        <v>79</v>
      </c>
      <c r="W32" s="4" t="s">
        <v>80</v>
      </c>
      <c r="X32" s="4" t="s">
        <v>48</v>
      </c>
      <c r="Y32" s="8"/>
      <c r="Z32" s="8"/>
    </row>
    <row r="33" spans="1:26">
      <c r="A33" s="5" t="s">
        <v>78</v>
      </c>
      <c r="B33" s="5" t="s">
        <v>49</v>
      </c>
      <c r="C33" s="5">
        <v>28</v>
      </c>
      <c r="D33" s="5">
        <v>5</v>
      </c>
      <c r="E33" s="5">
        <v>5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2</v>
      </c>
      <c r="L33" s="5">
        <v>3</v>
      </c>
      <c r="M33" s="5">
        <v>4</v>
      </c>
      <c r="N33" s="5">
        <v>2</v>
      </c>
      <c r="O33" s="5">
        <v>1</v>
      </c>
      <c r="P33" s="5">
        <v>1</v>
      </c>
      <c r="Q33" s="5">
        <v>3</v>
      </c>
      <c r="R33" s="5">
        <v>1</v>
      </c>
      <c r="S33" s="5">
        <v>1</v>
      </c>
      <c r="T33" s="5">
        <v>28</v>
      </c>
      <c r="U33" s="8" t="s">
        <v>45</v>
      </c>
      <c r="V33" s="5" t="s">
        <v>81</v>
      </c>
      <c r="W33" s="5" t="s">
        <v>80</v>
      </c>
      <c r="X33" s="5" t="s">
        <v>51</v>
      </c>
      <c r="Y33" s="5"/>
      <c r="Z33" s="5"/>
    </row>
    <row r="34" spans="1:26">
      <c r="A34" s="4" t="s">
        <v>78</v>
      </c>
      <c r="B34" s="4" t="s">
        <v>52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8"/>
      <c r="V34" s="4"/>
      <c r="W34" s="4"/>
      <c r="X34" s="4"/>
      <c r="Y34" s="4"/>
      <c r="Z34" s="4"/>
    </row>
    <row r="35" spans="1:26">
      <c r="A35" s="5" t="s">
        <v>78</v>
      </c>
      <c r="B35" s="5" t="s">
        <v>55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8"/>
      <c r="V35" s="5"/>
      <c r="W35" s="5"/>
      <c r="X35" s="5"/>
      <c r="Y35" s="5"/>
      <c r="Z35" s="8"/>
    </row>
    <row r="36" spans="1:26">
      <c r="A36" s="4" t="s">
        <v>78</v>
      </c>
      <c r="B36" s="4" t="s">
        <v>56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8"/>
      <c r="V36" s="4"/>
      <c r="W36" s="4"/>
      <c r="X36" s="4"/>
      <c r="Y36" s="8"/>
      <c r="Z36" s="4"/>
    </row>
    <row r="37" spans="1:26">
      <c r="A37" s="5" t="s">
        <v>82</v>
      </c>
      <c r="B37" s="5" t="s">
        <v>44</v>
      </c>
      <c r="C37" s="5">
        <v>26</v>
      </c>
      <c r="D37" s="5">
        <v>4</v>
      </c>
      <c r="E37" s="5">
        <v>5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K37" s="5">
        <v>2</v>
      </c>
      <c r="L37" s="5">
        <v>3</v>
      </c>
      <c r="M37" s="5">
        <v>5</v>
      </c>
      <c r="N37" s="5">
        <v>0</v>
      </c>
      <c r="O37" s="5">
        <v>1</v>
      </c>
      <c r="P37" s="5">
        <v>1</v>
      </c>
      <c r="Q37" s="5">
        <v>3</v>
      </c>
      <c r="R37" s="5">
        <v>1</v>
      </c>
      <c r="S37" s="5">
        <v>1</v>
      </c>
      <c r="T37" s="5">
        <v>26</v>
      </c>
      <c r="U37" s="8" t="s">
        <v>45</v>
      </c>
      <c r="V37" s="5" t="s">
        <v>83</v>
      </c>
      <c r="W37" s="5" t="s">
        <v>84</v>
      </c>
      <c r="X37" s="5" t="s">
        <v>48</v>
      </c>
      <c r="Y37" s="8"/>
      <c r="Z37" s="5" t="s">
        <v>85</v>
      </c>
    </row>
    <row r="38" spans="1:26">
      <c r="A38" s="4" t="s">
        <v>82</v>
      </c>
      <c r="B38" s="4" t="s">
        <v>49</v>
      </c>
      <c r="C38" s="4">
        <v>25</v>
      </c>
      <c r="D38" s="4">
        <v>3</v>
      </c>
      <c r="E38" s="4">
        <v>5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2</v>
      </c>
      <c r="L38" s="4">
        <v>3</v>
      </c>
      <c r="M38" s="4">
        <v>5</v>
      </c>
      <c r="N38" s="4">
        <v>0</v>
      </c>
      <c r="O38" s="4">
        <v>1</v>
      </c>
      <c r="P38" s="4">
        <v>1</v>
      </c>
      <c r="Q38" s="4">
        <v>3</v>
      </c>
      <c r="R38" s="4">
        <v>1</v>
      </c>
      <c r="S38" s="4">
        <v>1</v>
      </c>
      <c r="T38" s="4">
        <v>25</v>
      </c>
      <c r="U38" s="8" t="s">
        <v>45</v>
      </c>
      <c r="V38" s="4" t="s">
        <v>86</v>
      </c>
      <c r="W38" s="4" t="s">
        <v>84</v>
      </c>
      <c r="X38" s="4" t="s">
        <v>51</v>
      </c>
      <c r="Y38" s="4"/>
      <c r="Z38" s="4"/>
    </row>
    <row r="39" spans="1:26">
      <c r="A39" s="5" t="s">
        <v>82</v>
      </c>
      <c r="B39" s="5" t="s">
        <v>52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8"/>
      <c r="V39" s="5"/>
      <c r="W39" s="5"/>
      <c r="X39" s="5"/>
      <c r="Y39" s="5"/>
      <c r="Z39" s="5"/>
    </row>
    <row r="40" spans="1:26">
      <c r="A40" s="4" t="s">
        <v>82</v>
      </c>
      <c r="B40" s="4" t="s">
        <v>55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8"/>
      <c r="V40" s="4"/>
      <c r="W40" s="4"/>
      <c r="X40" s="4"/>
      <c r="Y40" s="4"/>
      <c r="Z40" s="4"/>
    </row>
    <row r="41" spans="1:26">
      <c r="A41" s="5" t="s">
        <v>82</v>
      </c>
      <c r="B41" s="5" t="s">
        <v>56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8"/>
      <c r="V41" s="5"/>
      <c r="W41" s="5"/>
      <c r="X41" s="5"/>
      <c r="Y41" s="5"/>
      <c r="Z41" s="5"/>
    </row>
    <row r="42" spans="1:26">
      <c r="A42" s="4" t="s">
        <v>87</v>
      </c>
      <c r="B42" s="4" t="s">
        <v>44</v>
      </c>
      <c r="C42" s="4">
        <v>23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8"/>
      <c r="V42" s="4"/>
      <c r="W42" s="4" t="s">
        <v>88</v>
      </c>
      <c r="X42" s="4" t="s">
        <v>48</v>
      </c>
      <c r="Y42" s="4" t="s">
        <v>65</v>
      </c>
      <c r="Z42" s="4"/>
    </row>
    <row r="43" spans="1:26">
      <c r="A43" s="5" t="s">
        <v>87</v>
      </c>
      <c r="B43" s="5" t="s">
        <v>49</v>
      </c>
      <c r="C43" s="5">
        <v>26</v>
      </c>
      <c r="D43" s="5">
        <v>5</v>
      </c>
      <c r="E43" s="5">
        <v>5</v>
      </c>
      <c r="F43" s="5">
        <v>1</v>
      </c>
      <c r="G43" s="5">
        <v>1</v>
      </c>
      <c r="H43" s="5">
        <v>1</v>
      </c>
      <c r="I43" s="5">
        <v>1</v>
      </c>
      <c r="J43" s="5">
        <v>1</v>
      </c>
      <c r="K43" s="5">
        <v>2</v>
      </c>
      <c r="L43" s="5">
        <v>3</v>
      </c>
      <c r="M43" s="5">
        <v>3</v>
      </c>
      <c r="N43" s="5">
        <v>1</v>
      </c>
      <c r="O43" s="5">
        <v>1</v>
      </c>
      <c r="P43" s="5">
        <v>1</v>
      </c>
      <c r="Q43" s="5">
        <v>3</v>
      </c>
      <c r="R43" s="5">
        <v>1</v>
      </c>
      <c r="S43" s="5">
        <v>1</v>
      </c>
      <c r="T43" s="5">
        <v>26</v>
      </c>
      <c r="U43" s="8" t="s">
        <v>45</v>
      </c>
      <c r="V43" s="5" t="s">
        <v>89</v>
      </c>
      <c r="W43" s="5" t="s">
        <v>88</v>
      </c>
      <c r="X43" s="5" t="s">
        <v>51</v>
      </c>
      <c r="Y43" s="5"/>
      <c r="Z43" s="5"/>
    </row>
    <row r="44" spans="1:26">
      <c r="A44" s="4" t="s">
        <v>87</v>
      </c>
      <c r="B44" s="4" t="s">
        <v>52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8"/>
      <c r="V44" s="4"/>
      <c r="W44" s="4"/>
      <c r="X44" s="4"/>
      <c r="Y44" s="4"/>
      <c r="Z44" s="4"/>
    </row>
    <row r="45" spans="1:26">
      <c r="A45" s="5" t="s">
        <v>87</v>
      </c>
      <c r="B45" s="5" t="s">
        <v>55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8"/>
      <c r="V45" s="5"/>
      <c r="W45" s="5"/>
      <c r="X45" s="5"/>
      <c r="Y45" s="5"/>
      <c r="Z45" s="5"/>
    </row>
    <row r="46" spans="1:26">
      <c r="A46" s="4" t="s">
        <v>87</v>
      </c>
      <c r="B46" s="4" t="s">
        <v>56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8"/>
      <c r="V46" s="4"/>
      <c r="W46" s="4"/>
      <c r="X46" s="4"/>
      <c r="Y46" s="4"/>
      <c r="Z46" s="4"/>
    </row>
    <row r="47" spans="1:26">
      <c r="A47" s="5" t="s">
        <v>90</v>
      </c>
      <c r="B47" s="5" t="s">
        <v>44</v>
      </c>
      <c r="C47" s="5">
        <v>26</v>
      </c>
      <c r="D47" s="5">
        <v>5</v>
      </c>
      <c r="E47" s="5">
        <v>5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  <c r="K47" s="5">
        <v>2</v>
      </c>
      <c r="L47" s="5">
        <v>3</v>
      </c>
      <c r="M47" s="5">
        <v>5</v>
      </c>
      <c r="N47" s="5">
        <v>0</v>
      </c>
      <c r="O47" s="5">
        <v>1</v>
      </c>
      <c r="P47" s="5">
        <v>1</v>
      </c>
      <c r="Q47" s="5">
        <v>2</v>
      </c>
      <c r="R47" s="5">
        <v>1</v>
      </c>
      <c r="S47" s="5">
        <v>1</v>
      </c>
      <c r="T47" s="5">
        <v>26</v>
      </c>
      <c r="U47" s="8" t="s">
        <v>45</v>
      </c>
      <c r="V47" s="5" t="s">
        <v>91</v>
      </c>
      <c r="W47" s="5" t="s">
        <v>92</v>
      </c>
      <c r="X47" s="5" t="s">
        <v>48</v>
      </c>
      <c r="Y47" s="8"/>
      <c r="Z47" s="8"/>
    </row>
    <row r="48" spans="1:26">
      <c r="A48" s="4" t="s">
        <v>90</v>
      </c>
      <c r="B48" s="4" t="s">
        <v>49</v>
      </c>
      <c r="C48" s="4">
        <v>24</v>
      </c>
      <c r="D48" s="4">
        <v>3</v>
      </c>
      <c r="E48" s="4">
        <v>5</v>
      </c>
      <c r="F48" s="4">
        <v>1</v>
      </c>
      <c r="G48" s="4">
        <v>1</v>
      </c>
      <c r="H48" s="4">
        <v>1</v>
      </c>
      <c r="I48" s="4">
        <v>1</v>
      </c>
      <c r="J48" s="4">
        <v>1</v>
      </c>
      <c r="K48" s="4">
        <v>2</v>
      </c>
      <c r="L48" s="4">
        <v>3</v>
      </c>
      <c r="M48" s="4">
        <v>5</v>
      </c>
      <c r="N48" s="4">
        <v>0</v>
      </c>
      <c r="O48" s="4">
        <v>1</v>
      </c>
      <c r="P48" s="4">
        <v>1</v>
      </c>
      <c r="Q48" s="4">
        <v>3</v>
      </c>
      <c r="R48" s="4">
        <v>1</v>
      </c>
      <c r="S48" s="4">
        <v>0</v>
      </c>
      <c r="T48" s="4">
        <v>24</v>
      </c>
      <c r="U48" s="8" t="s">
        <v>45</v>
      </c>
      <c r="V48" s="4" t="s">
        <v>89</v>
      </c>
      <c r="W48" s="4" t="s">
        <v>92</v>
      </c>
      <c r="X48" s="4" t="s">
        <v>51</v>
      </c>
      <c r="Y48" s="4"/>
      <c r="Z48" s="4"/>
    </row>
    <row r="49" spans="1:26">
      <c r="A49" s="5" t="s">
        <v>90</v>
      </c>
      <c r="B49" s="5" t="s">
        <v>52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8"/>
      <c r="V49" s="5"/>
      <c r="W49" s="5"/>
      <c r="X49" s="5"/>
      <c r="Y49" s="5"/>
      <c r="Z49" s="5"/>
    </row>
    <row r="50" spans="1:26">
      <c r="A50" s="4" t="s">
        <v>90</v>
      </c>
      <c r="B50" s="4" t="s">
        <v>55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8"/>
      <c r="V50" s="4"/>
      <c r="W50" s="4"/>
      <c r="X50" s="4"/>
      <c r="Y50" s="8"/>
      <c r="Z50" s="4"/>
    </row>
    <row r="51" spans="1:26">
      <c r="A51" s="5" t="s">
        <v>90</v>
      </c>
      <c r="B51" s="5" t="s">
        <v>56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8"/>
      <c r="V51" s="5"/>
      <c r="W51" s="5"/>
      <c r="X51" s="5"/>
      <c r="Y51" s="8"/>
      <c r="Z51" s="5"/>
    </row>
    <row r="52" spans="1:26">
      <c r="A52" s="4" t="s">
        <v>93</v>
      </c>
      <c r="B52" s="4" t="s">
        <v>44</v>
      </c>
      <c r="C52" s="4">
        <v>21</v>
      </c>
      <c r="D52" s="4">
        <v>3</v>
      </c>
      <c r="E52" s="4">
        <v>4</v>
      </c>
      <c r="F52" s="4">
        <v>1</v>
      </c>
      <c r="G52" s="4">
        <v>1</v>
      </c>
      <c r="H52" s="4">
        <v>1</v>
      </c>
      <c r="I52" s="4">
        <v>1</v>
      </c>
      <c r="J52" s="4">
        <v>0</v>
      </c>
      <c r="K52" s="4">
        <v>2</v>
      </c>
      <c r="L52" s="4">
        <v>3</v>
      </c>
      <c r="M52" s="4">
        <v>2</v>
      </c>
      <c r="N52" s="4">
        <v>0</v>
      </c>
      <c r="O52" s="4">
        <v>1</v>
      </c>
      <c r="P52" s="4">
        <v>1</v>
      </c>
      <c r="Q52" s="4">
        <v>3</v>
      </c>
      <c r="R52" s="4">
        <v>1</v>
      </c>
      <c r="S52" s="4">
        <v>1</v>
      </c>
      <c r="T52" s="4">
        <v>21</v>
      </c>
      <c r="U52" s="8" t="s">
        <v>45</v>
      </c>
      <c r="V52" s="4" t="s">
        <v>94</v>
      </c>
      <c r="W52" s="4" t="s">
        <v>95</v>
      </c>
      <c r="X52" s="4" t="s">
        <v>48</v>
      </c>
      <c r="Y52" s="8"/>
      <c r="Z52" s="8"/>
    </row>
    <row r="53" spans="1:26">
      <c r="A53" s="5" t="s">
        <v>93</v>
      </c>
      <c r="B53" s="5" t="s">
        <v>49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8"/>
      <c r="V53" s="5"/>
      <c r="W53" s="5"/>
      <c r="X53" s="5"/>
      <c r="Y53" s="5"/>
      <c r="Z53" s="5"/>
    </row>
    <row r="54" spans="1:26">
      <c r="A54" s="4" t="s">
        <v>93</v>
      </c>
      <c r="B54" s="4" t="s">
        <v>52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8"/>
      <c r="V54" s="4"/>
      <c r="W54" s="4"/>
      <c r="X54" s="4"/>
      <c r="Y54" s="4"/>
      <c r="Z54" s="4"/>
    </row>
    <row r="55" spans="1:26">
      <c r="A55" s="5" t="s">
        <v>93</v>
      </c>
      <c r="B55" s="5" t="s">
        <v>55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8"/>
      <c r="V55" s="5"/>
      <c r="W55" s="5"/>
      <c r="X55" s="5"/>
      <c r="Y55" s="5"/>
      <c r="Z55" s="5"/>
    </row>
    <row r="56" spans="1:26">
      <c r="A56" s="4" t="s">
        <v>93</v>
      </c>
      <c r="B56" s="4" t="s">
        <v>56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8"/>
      <c r="V56" s="4"/>
      <c r="W56" s="4"/>
      <c r="X56" s="4"/>
      <c r="Y56" s="4"/>
      <c r="Z56" s="8"/>
    </row>
    <row r="57" spans="1:26">
      <c r="A57" s="5" t="s">
        <v>96</v>
      </c>
      <c r="B57" s="5" t="s">
        <v>44</v>
      </c>
      <c r="C57" s="5">
        <v>22</v>
      </c>
      <c r="D57" s="5">
        <v>2</v>
      </c>
      <c r="E57" s="5">
        <v>5</v>
      </c>
      <c r="F57" s="5">
        <v>1</v>
      </c>
      <c r="G57" s="5">
        <v>1</v>
      </c>
      <c r="H57" s="5">
        <v>1</v>
      </c>
      <c r="I57" s="5">
        <v>1</v>
      </c>
      <c r="J57" s="5">
        <v>1</v>
      </c>
      <c r="K57" s="5">
        <v>2</v>
      </c>
      <c r="L57" s="5">
        <v>3</v>
      </c>
      <c r="M57" s="5">
        <v>2</v>
      </c>
      <c r="N57" s="5">
        <v>1</v>
      </c>
      <c r="O57" s="5">
        <v>1</v>
      </c>
      <c r="P57" s="5">
        <v>1</v>
      </c>
      <c r="Q57" s="5">
        <v>3</v>
      </c>
      <c r="R57" s="5">
        <v>1</v>
      </c>
      <c r="S57" s="5">
        <v>1</v>
      </c>
      <c r="T57" s="5">
        <v>22</v>
      </c>
      <c r="U57" s="8" t="s">
        <v>45</v>
      </c>
      <c r="V57" s="5" t="s">
        <v>97</v>
      </c>
      <c r="W57" s="5" t="s">
        <v>98</v>
      </c>
      <c r="X57" s="5" t="s">
        <v>48</v>
      </c>
      <c r="Y57" s="8"/>
      <c r="Z57" s="8"/>
    </row>
    <row r="58" spans="1:26">
      <c r="A58" s="4" t="s">
        <v>96</v>
      </c>
      <c r="B58" s="4" t="s">
        <v>49</v>
      </c>
      <c r="C58" s="4">
        <v>23</v>
      </c>
      <c r="D58" s="4">
        <v>3</v>
      </c>
      <c r="E58" s="4">
        <v>4</v>
      </c>
      <c r="F58" s="4">
        <v>1</v>
      </c>
      <c r="G58" s="4">
        <v>1</v>
      </c>
      <c r="H58" s="4">
        <v>1</v>
      </c>
      <c r="I58" s="4">
        <v>0</v>
      </c>
      <c r="J58" s="4">
        <v>1</v>
      </c>
      <c r="K58" s="4">
        <v>2</v>
      </c>
      <c r="L58" s="4">
        <v>3</v>
      </c>
      <c r="M58" s="4">
        <v>2</v>
      </c>
      <c r="N58" s="4">
        <v>2</v>
      </c>
      <c r="O58" s="4">
        <v>1</v>
      </c>
      <c r="P58" s="4">
        <v>1</v>
      </c>
      <c r="Q58" s="4">
        <v>3</v>
      </c>
      <c r="R58" s="4">
        <v>1</v>
      </c>
      <c r="S58" s="4">
        <v>1</v>
      </c>
      <c r="T58" s="4">
        <v>23</v>
      </c>
      <c r="U58" s="8" t="s">
        <v>45</v>
      </c>
      <c r="V58" s="4" t="s">
        <v>99</v>
      </c>
      <c r="W58" s="4" t="s">
        <v>98</v>
      </c>
      <c r="X58" s="4" t="s">
        <v>51</v>
      </c>
      <c r="Y58" s="4"/>
      <c r="Z58" s="8"/>
    </row>
    <row r="59" spans="1:26">
      <c r="A59" s="5" t="s">
        <v>96</v>
      </c>
      <c r="B59" s="5" t="s">
        <v>52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8"/>
      <c r="V59" s="5"/>
      <c r="W59" s="5"/>
      <c r="X59" s="5"/>
      <c r="Y59" s="5"/>
      <c r="Z59" s="5"/>
    </row>
    <row r="60" spans="1:26">
      <c r="A60" s="4" t="s">
        <v>96</v>
      </c>
      <c r="B60" s="4" t="s">
        <v>55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8"/>
      <c r="V60" s="4"/>
      <c r="W60" s="4"/>
      <c r="X60" s="4"/>
      <c r="Y60" s="4"/>
      <c r="Z60" s="8"/>
    </row>
    <row r="61" spans="1:26">
      <c r="A61" s="5" t="s">
        <v>96</v>
      </c>
      <c r="B61" s="5" t="s">
        <v>56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8"/>
      <c r="V61" s="5"/>
      <c r="W61" s="5"/>
      <c r="X61" s="5"/>
      <c r="Y61" s="5"/>
      <c r="Z61" s="5"/>
    </row>
    <row r="62" spans="1:26">
      <c r="A62" s="4" t="s">
        <v>100</v>
      </c>
      <c r="B62" s="4" t="s">
        <v>44</v>
      </c>
      <c r="C62" s="4">
        <v>26</v>
      </c>
      <c r="D62" s="4">
        <v>4</v>
      </c>
      <c r="E62" s="4">
        <v>5</v>
      </c>
      <c r="F62" s="4">
        <v>1</v>
      </c>
      <c r="G62" s="4">
        <v>1</v>
      </c>
      <c r="H62" s="4">
        <v>1</v>
      </c>
      <c r="I62" s="4">
        <v>1</v>
      </c>
      <c r="J62" s="4">
        <v>1</v>
      </c>
      <c r="K62" s="4">
        <v>2</v>
      </c>
      <c r="L62" s="4">
        <v>3</v>
      </c>
      <c r="M62" s="4">
        <v>4</v>
      </c>
      <c r="N62" s="4">
        <v>1</v>
      </c>
      <c r="O62" s="4">
        <v>1</v>
      </c>
      <c r="P62" s="4">
        <v>1</v>
      </c>
      <c r="Q62" s="4">
        <v>3</v>
      </c>
      <c r="R62" s="4">
        <v>1</v>
      </c>
      <c r="S62" s="4">
        <v>1</v>
      </c>
      <c r="T62" s="4">
        <v>26</v>
      </c>
      <c r="U62" s="8" t="s">
        <v>45</v>
      </c>
      <c r="V62" s="4" t="s">
        <v>101</v>
      </c>
      <c r="W62" s="4" t="s">
        <v>102</v>
      </c>
      <c r="X62" s="4" t="s">
        <v>48</v>
      </c>
      <c r="Y62" s="8"/>
      <c r="Z62" s="8"/>
    </row>
    <row r="63" spans="1:26">
      <c r="A63" s="5" t="s">
        <v>100</v>
      </c>
      <c r="B63" s="5" t="s">
        <v>49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8"/>
      <c r="V63" s="5"/>
      <c r="W63" s="5"/>
      <c r="X63" s="5"/>
      <c r="Y63" s="5"/>
      <c r="Z63" s="5"/>
    </row>
    <row r="64" spans="1:26">
      <c r="A64" s="4" t="s">
        <v>100</v>
      </c>
      <c r="B64" s="4" t="s">
        <v>52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8"/>
      <c r="V64" s="4"/>
      <c r="W64" s="4"/>
      <c r="X64" s="4"/>
      <c r="Y64" s="4"/>
      <c r="Z64" s="8"/>
    </row>
    <row r="65" spans="1:26">
      <c r="A65" s="5" t="s">
        <v>100</v>
      </c>
      <c r="B65" s="5" t="s">
        <v>55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8"/>
      <c r="V65" s="5"/>
      <c r="W65" s="5"/>
      <c r="X65" s="5"/>
      <c r="Y65" s="5"/>
      <c r="Z65" s="5"/>
    </row>
    <row r="66" spans="1:26">
      <c r="A66" s="4" t="s">
        <v>100</v>
      </c>
      <c r="B66" s="4" t="s">
        <v>56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8"/>
      <c r="V66" s="4"/>
      <c r="W66" s="4"/>
      <c r="X66" s="4"/>
      <c r="Y66" s="4"/>
      <c r="Z66" s="8"/>
    </row>
    <row r="67" spans="1:26">
      <c r="A67" s="5" t="s">
        <v>103</v>
      </c>
      <c r="B67" s="5" t="s">
        <v>44</v>
      </c>
      <c r="C67" s="5">
        <v>25</v>
      </c>
      <c r="D67" s="5">
        <v>2</v>
      </c>
      <c r="E67" s="5">
        <v>5</v>
      </c>
      <c r="F67" s="5">
        <v>1</v>
      </c>
      <c r="G67" s="5">
        <v>1</v>
      </c>
      <c r="H67" s="5">
        <v>1</v>
      </c>
      <c r="I67" s="5">
        <v>1</v>
      </c>
      <c r="J67" s="5">
        <v>1</v>
      </c>
      <c r="K67" s="5">
        <v>2</v>
      </c>
      <c r="L67" s="5">
        <v>3</v>
      </c>
      <c r="M67" s="5">
        <v>5</v>
      </c>
      <c r="N67" s="5">
        <v>1</v>
      </c>
      <c r="O67" s="5">
        <v>1</v>
      </c>
      <c r="P67" s="5">
        <v>1</v>
      </c>
      <c r="Q67" s="5">
        <v>3</v>
      </c>
      <c r="R67" s="5">
        <v>1</v>
      </c>
      <c r="S67" s="5">
        <v>1</v>
      </c>
      <c r="T67" s="5">
        <v>25</v>
      </c>
      <c r="U67" s="8" t="s">
        <v>45</v>
      </c>
      <c r="V67" s="5" t="s">
        <v>101</v>
      </c>
      <c r="W67" s="5" t="s">
        <v>104</v>
      </c>
      <c r="X67" s="5" t="s">
        <v>48</v>
      </c>
      <c r="Y67" s="8"/>
      <c r="Z67" s="8"/>
    </row>
    <row r="68" spans="1:26">
      <c r="A68" s="4" t="s">
        <v>103</v>
      </c>
      <c r="B68" s="4" t="s">
        <v>49</v>
      </c>
      <c r="C68" s="4">
        <v>21</v>
      </c>
      <c r="D68" s="4">
        <v>2</v>
      </c>
      <c r="E68" s="4">
        <v>4</v>
      </c>
      <c r="F68" s="4">
        <v>1</v>
      </c>
      <c r="G68" s="4">
        <v>1</v>
      </c>
      <c r="H68" s="4">
        <v>1</v>
      </c>
      <c r="I68" s="4">
        <v>0</v>
      </c>
      <c r="J68" s="4">
        <v>1</v>
      </c>
      <c r="K68" s="4">
        <v>2</v>
      </c>
      <c r="L68" s="4">
        <v>3</v>
      </c>
      <c r="M68" s="4">
        <v>3</v>
      </c>
      <c r="N68" s="4">
        <v>0</v>
      </c>
      <c r="O68" s="4">
        <v>1</v>
      </c>
      <c r="P68" s="4">
        <v>1</v>
      </c>
      <c r="Q68" s="4">
        <v>3</v>
      </c>
      <c r="R68" s="4">
        <v>1</v>
      </c>
      <c r="S68" s="4">
        <v>1</v>
      </c>
      <c r="T68" s="4">
        <v>21</v>
      </c>
      <c r="U68" s="8" t="s">
        <v>45</v>
      </c>
      <c r="V68" s="4" t="s">
        <v>105</v>
      </c>
      <c r="W68" s="4" t="s">
        <v>104</v>
      </c>
      <c r="X68" s="4" t="s">
        <v>51</v>
      </c>
      <c r="Y68" s="4"/>
      <c r="Z68" s="4"/>
    </row>
    <row r="69" spans="1:26">
      <c r="A69" s="5" t="s">
        <v>103</v>
      </c>
      <c r="B69" s="5" t="s">
        <v>52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8"/>
      <c r="V69" s="5"/>
      <c r="W69" s="5"/>
      <c r="X69" s="5"/>
      <c r="Y69" s="5"/>
      <c r="Z69" s="8"/>
    </row>
    <row r="70" spans="1:26">
      <c r="A70" s="4" t="s">
        <v>103</v>
      </c>
      <c r="B70" s="4" t="s">
        <v>55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8"/>
      <c r="V70" s="4"/>
      <c r="W70" s="4"/>
      <c r="X70" s="4"/>
      <c r="Y70" s="4"/>
      <c r="Z70" s="4"/>
    </row>
    <row r="71" spans="1:26">
      <c r="A71" s="5" t="s">
        <v>103</v>
      </c>
      <c r="B71" s="5" t="s">
        <v>56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8"/>
      <c r="V71" s="5"/>
      <c r="W71" s="5"/>
      <c r="X71" s="5"/>
      <c r="Y71" s="5"/>
      <c r="Z71" s="5"/>
    </row>
    <row r="72" spans="1:26">
      <c r="A72" s="4" t="s">
        <v>106</v>
      </c>
      <c r="B72" s="4" t="s">
        <v>44</v>
      </c>
      <c r="C72" s="4">
        <v>21</v>
      </c>
      <c r="D72" s="4">
        <v>3</v>
      </c>
      <c r="E72" s="4">
        <v>4</v>
      </c>
      <c r="F72" s="4">
        <v>1</v>
      </c>
      <c r="G72" s="4">
        <v>1</v>
      </c>
      <c r="H72" s="4">
        <v>0</v>
      </c>
      <c r="I72" s="4">
        <v>1</v>
      </c>
      <c r="J72" s="4">
        <v>1</v>
      </c>
      <c r="K72" s="4">
        <v>2</v>
      </c>
      <c r="L72" s="4">
        <v>3</v>
      </c>
      <c r="M72" s="4">
        <v>2</v>
      </c>
      <c r="N72" s="4">
        <v>0</v>
      </c>
      <c r="O72" s="4">
        <v>1</v>
      </c>
      <c r="P72" s="4">
        <v>1</v>
      </c>
      <c r="Q72" s="4">
        <v>3</v>
      </c>
      <c r="R72" s="4">
        <v>1</v>
      </c>
      <c r="S72" s="4">
        <v>1</v>
      </c>
      <c r="T72" s="4">
        <v>21</v>
      </c>
      <c r="U72" s="8" t="s">
        <v>45</v>
      </c>
      <c r="V72" s="4" t="s">
        <v>107</v>
      </c>
      <c r="W72" s="4" t="s">
        <v>108</v>
      </c>
      <c r="X72" s="4" t="s">
        <v>48</v>
      </c>
      <c r="Y72" s="8"/>
      <c r="Z72" s="8"/>
    </row>
    <row r="73" spans="1:26">
      <c r="A73" s="5" t="s">
        <v>106</v>
      </c>
      <c r="B73" s="5" t="s">
        <v>49</v>
      </c>
      <c r="C73" s="5">
        <v>20</v>
      </c>
      <c r="D73" s="5">
        <v>2</v>
      </c>
      <c r="E73" s="5">
        <v>4</v>
      </c>
      <c r="F73" s="5">
        <v>1</v>
      </c>
      <c r="G73" s="5">
        <v>1</v>
      </c>
      <c r="H73" s="5">
        <v>0</v>
      </c>
      <c r="I73" s="5">
        <v>1</v>
      </c>
      <c r="J73" s="5">
        <v>1</v>
      </c>
      <c r="K73" s="5">
        <v>2</v>
      </c>
      <c r="L73" s="5">
        <v>3</v>
      </c>
      <c r="M73" s="5">
        <v>2</v>
      </c>
      <c r="N73" s="5">
        <v>0</v>
      </c>
      <c r="O73" s="5">
        <v>1</v>
      </c>
      <c r="P73" s="5">
        <v>1</v>
      </c>
      <c r="Q73" s="5">
        <v>3</v>
      </c>
      <c r="R73" s="5">
        <v>1</v>
      </c>
      <c r="S73" s="5">
        <v>1</v>
      </c>
      <c r="T73" s="5">
        <v>20</v>
      </c>
      <c r="U73" s="8" t="s">
        <v>45</v>
      </c>
      <c r="V73" s="5" t="s">
        <v>109</v>
      </c>
      <c r="W73" s="5" t="s">
        <v>108</v>
      </c>
      <c r="X73" s="5" t="s">
        <v>51</v>
      </c>
      <c r="Y73" s="5"/>
      <c r="Z73" s="5"/>
    </row>
    <row r="74" spans="1:26">
      <c r="A74" s="4" t="s">
        <v>106</v>
      </c>
      <c r="B74" s="4" t="s">
        <v>52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8"/>
      <c r="V74" s="4"/>
      <c r="W74" s="4"/>
      <c r="X74" s="4"/>
      <c r="Y74" s="4"/>
      <c r="Z74" s="8"/>
    </row>
    <row r="75" spans="1:26">
      <c r="A75" s="5" t="s">
        <v>106</v>
      </c>
      <c r="B75" s="5" t="s">
        <v>55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8"/>
      <c r="V75" s="5"/>
      <c r="W75" s="5"/>
      <c r="X75" s="5"/>
      <c r="Y75" s="5"/>
      <c r="Z75" s="8"/>
    </row>
    <row r="76" spans="1:26">
      <c r="A76" s="4" t="s">
        <v>106</v>
      </c>
      <c r="B76" s="4" t="s">
        <v>56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8"/>
      <c r="V76" s="4"/>
      <c r="W76" s="4"/>
      <c r="X76" s="4"/>
      <c r="Y76" s="4"/>
      <c r="Z76" s="8"/>
    </row>
    <row r="77" spans="1:26">
      <c r="A77" s="5" t="s">
        <v>110</v>
      </c>
      <c r="B77" s="5" t="s">
        <v>44</v>
      </c>
      <c r="C77" s="5">
        <v>21</v>
      </c>
      <c r="D77" s="5">
        <v>2</v>
      </c>
      <c r="E77" s="5">
        <v>5</v>
      </c>
      <c r="F77" s="5">
        <v>1</v>
      </c>
      <c r="G77" s="5">
        <v>1</v>
      </c>
      <c r="H77" s="5">
        <v>1</v>
      </c>
      <c r="I77" s="5">
        <v>1</v>
      </c>
      <c r="J77" s="5">
        <v>1</v>
      </c>
      <c r="K77" s="5">
        <v>2</v>
      </c>
      <c r="L77" s="5">
        <v>3</v>
      </c>
      <c r="M77" s="5">
        <v>3</v>
      </c>
      <c r="N77" s="5">
        <v>0</v>
      </c>
      <c r="O77" s="5">
        <v>0</v>
      </c>
      <c r="P77" s="5">
        <v>1</v>
      </c>
      <c r="Q77" s="5">
        <v>3</v>
      </c>
      <c r="R77" s="5">
        <v>1</v>
      </c>
      <c r="S77" s="5">
        <v>1</v>
      </c>
      <c r="T77" s="5">
        <v>21</v>
      </c>
      <c r="U77" s="8" t="s">
        <v>45</v>
      </c>
      <c r="V77" s="5" t="s">
        <v>111</v>
      </c>
      <c r="W77" s="5" t="s">
        <v>112</v>
      </c>
      <c r="X77" s="5" t="s">
        <v>48</v>
      </c>
      <c r="Y77" s="8"/>
      <c r="Z77" s="8"/>
    </row>
    <row r="78" spans="1:26">
      <c r="A78" s="4" t="s">
        <v>110</v>
      </c>
      <c r="B78" s="4" t="s">
        <v>49</v>
      </c>
      <c r="C78" s="4">
        <v>21</v>
      </c>
      <c r="D78" s="4">
        <v>2</v>
      </c>
      <c r="E78" s="4">
        <v>5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2</v>
      </c>
      <c r="L78" s="4">
        <v>1</v>
      </c>
      <c r="M78" s="4">
        <v>4</v>
      </c>
      <c r="N78" s="4">
        <v>0</v>
      </c>
      <c r="O78" s="4">
        <v>0</v>
      </c>
      <c r="P78" s="4">
        <v>1</v>
      </c>
      <c r="Q78" s="4">
        <v>2</v>
      </c>
      <c r="R78" s="4">
        <v>1</v>
      </c>
      <c r="S78" s="4">
        <v>1</v>
      </c>
      <c r="T78" s="4">
        <v>21</v>
      </c>
      <c r="U78" s="8" t="s">
        <v>45</v>
      </c>
      <c r="V78" s="4" t="s">
        <v>113</v>
      </c>
      <c r="W78" s="4" t="s">
        <v>112</v>
      </c>
      <c r="X78" s="4" t="s">
        <v>51</v>
      </c>
      <c r="Y78" s="4"/>
      <c r="Z78" s="4"/>
    </row>
    <row r="79" spans="1:26">
      <c r="A79" s="5" t="s">
        <v>110</v>
      </c>
      <c r="B79" s="5" t="s">
        <v>52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8"/>
      <c r="V79" s="5"/>
      <c r="W79" s="5"/>
      <c r="X79" s="5"/>
      <c r="Y79" s="5"/>
      <c r="Z79" s="8"/>
    </row>
    <row r="80" spans="1:26">
      <c r="A80" s="4" t="s">
        <v>110</v>
      </c>
      <c r="B80" s="4" t="s">
        <v>55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8"/>
      <c r="V80" s="4"/>
      <c r="W80" s="4"/>
      <c r="X80" s="4"/>
      <c r="Y80" s="4"/>
      <c r="Z80" s="4"/>
    </row>
    <row r="81" spans="1:26">
      <c r="A81" s="5" t="s">
        <v>110</v>
      </c>
      <c r="B81" s="5" t="s">
        <v>56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8"/>
      <c r="V81" s="5"/>
      <c r="W81" s="5"/>
      <c r="X81" s="5"/>
      <c r="Y81" s="5"/>
      <c r="Z81" s="8"/>
    </row>
    <row r="82" spans="1:26">
      <c r="A82" s="4" t="s">
        <v>114</v>
      </c>
      <c r="B82" s="4" t="s">
        <v>44</v>
      </c>
      <c r="C82" s="4">
        <v>25</v>
      </c>
      <c r="D82" s="4">
        <v>5</v>
      </c>
      <c r="E82" s="4">
        <v>4</v>
      </c>
      <c r="F82" s="4">
        <v>1</v>
      </c>
      <c r="G82" s="4">
        <v>1</v>
      </c>
      <c r="H82" s="4">
        <v>1</v>
      </c>
      <c r="I82" s="4">
        <v>0</v>
      </c>
      <c r="J82" s="4">
        <v>1</v>
      </c>
      <c r="K82" s="4">
        <v>2</v>
      </c>
      <c r="L82" s="4">
        <v>3</v>
      </c>
      <c r="M82" s="4">
        <v>3</v>
      </c>
      <c r="N82" s="4">
        <v>1</v>
      </c>
      <c r="O82" s="4">
        <v>1</v>
      </c>
      <c r="P82" s="4">
        <v>1</v>
      </c>
      <c r="Q82" s="4">
        <v>3</v>
      </c>
      <c r="R82" s="4">
        <v>1</v>
      </c>
      <c r="S82" s="4">
        <v>1</v>
      </c>
      <c r="T82" s="4">
        <v>25</v>
      </c>
      <c r="U82" s="8"/>
      <c r="V82" s="4"/>
      <c r="W82" s="4" t="s">
        <v>115</v>
      </c>
      <c r="X82" s="4"/>
      <c r="Y82" s="8" t="s">
        <v>48</v>
      </c>
      <c r="Z82" s="8" t="s">
        <v>65</v>
      </c>
    </row>
    <row r="83" spans="1:26">
      <c r="A83" s="5" t="s">
        <v>114</v>
      </c>
      <c r="B83" s="5" t="s">
        <v>49</v>
      </c>
      <c r="C83" s="5">
        <v>27</v>
      </c>
      <c r="D83" s="5">
        <v>5</v>
      </c>
      <c r="E83" s="5">
        <v>5</v>
      </c>
      <c r="F83" s="5">
        <v>1</v>
      </c>
      <c r="G83" s="5">
        <v>1</v>
      </c>
      <c r="H83" s="5">
        <v>1</v>
      </c>
      <c r="I83" s="5">
        <v>1</v>
      </c>
      <c r="J83" s="5">
        <v>1</v>
      </c>
      <c r="K83" s="5">
        <v>2</v>
      </c>
      <c r="L83" s="5">
        <v>3</v>
      </c>
      <c r="M83" s="5">
        <v>5</v>
      </c>
      <c r="N83" s="5">
        <v>0</v>
      </c>
      <c r="O83" s="5">
        <v>1</v>
      </c>
      <c r="P83" s="5">
        <v>1</v>
      </c>
      <c r="Q83" s="5">
        <v>3</v>
      </c>
      <c r="R83" s="5">
        <v>1</v>
      </c>
      <c r="S83" s="5">
        <v>1</v>
      </c>
      <c r="T83" s="5">
        <v>27</v>
      </c>
      <c r="U83" s="8"/>
      <c r="V83" s="5"/>
      <c r="W83" s="5" t="s">
        <v>115</v>
      </c>
      <c r="X83" s="5"/>
      <c r="Y83" s="5" t="s">
        <v>51</v>
      </c>
      <c r="Z83" s="5" t="s">
        <v>65</v>
      </c>
    </row>
    <row r="84" spans="1:26">
      <c r="A84" s="4" t="s">
        <v>114</v>
      </c>
      <c r="B84" s="4" t="s">
        <v>52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8"/>
      <c r="V84" s="4"/>
      <c r="W84" s="4"/>
      <c r="X84" s="4"/>
      <c r="Y84" s="4"/>
      <c r="Z84" s="8"/>
    </row>
    <row r="85" spans="1:26">
      <c r="A85" s="5" t="s">
        <v>114</v>
      </c>
      <c r="B85" s="5" t="s">
        <v>55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8"/>
      <c r="V85" s="5"/>
      <c r="W85" s="5"/>
      <c r="X85" s="5"/>
      <c r="Y85" s="5"/>
      <c r="Z85" s="5"/>
    </row>
    <row r="86" spans="1:26">
      <c r="A86" s="4" t="s">
        <v>114</v>
      </c>
      <c r="B86" s="4" t="s">
        <v>56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8"/>
      <c r="V86" s="4"/>
      <c r="W86" s="4"/>
      <c r="X86" s="4"/>
      <c r="Y86" s="4"/>
      <c r="Z86" s="8"/>
    </row>
    <row r="87" spans="1:26">
      <c r="A87" s="5" t="s">
        <v>116</v>
      </c>
      <c r="B87" s="5" t="s">
        <v>44</v>
      </c>
      <c r="C87" s="5">
        <v>24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8"/>
      <c r="V87" s="5"/>
      <c r="W87" s="5" t="s">
        <v>117</v>
      </c>
      <c r="X87" s="5"/>
      <c r="Y87" s="8" t="s">
        <v>48</v>
      </c>
      <c r="Z87" s="8" t="s">
        <v>65</v>
      </c>
    </row>
    <row r="88" spans="1:26">
      <c r="A88" s="4" t="s">
        <v>116</v>
      </c>
      <c r="B88" s="4" t="s">
        <v>49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8"/>
      <c r="V88" s="4"/>
      <c r="W88" s="4"/>
      <c r="X88" s="4"/>
      <c r="Y88" s="4"/>
      <c r="Z88" s="8"/>
    </row>
    <row r="89" spans="1:26">
      <c r="A89" s="5" t="s">
        <v>116</v>
      </c>
      <c r="B89" s="5" t="s">
        <v>52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8"/>
      <c r="V89" s="5"/>
      <c r="W89" s="5"/>
      <c r="X89" s="5"/>
      <c r="Y89" s="5"/>
      <c r="Z89" s="8"/>
    </row>
    <row r="90" spans="1:26">
      <c r="A90" s="4" t="s">
        <v>116</v>
      </c>
      <c r="B90" s="4" t="s">
        <v>55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8"/>
      <c r="V90" s="4"/>
      <c r="W90" s="4"/>
      <c r="X90" s="4"/>
      <c r="Y90" s="4"/>
      <c r="Z90" s="8"/>
    </row>
    <row r="91" spans="1:26">
      <c r="A91" s="5" t="s">
        <v>116</v>
      </c>
      <c r="B91" s="5" t="s">
        <v>56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8"/>
      <c r="V91" s="5"/>
      <c r="W91" s="5"/>
      <c r="X91" s="5"/>
      <c r="Y91" s="5"/>
      <c r="Z91" s="8"/>
    </row>
    <row r="92" spans="1:26">
      <c r="A92" s="4" t="s">
        <v>118</v>
      </c>
      <c r="B92" s="4" t="s">
        <v>44</v>
      </c>
      <c r="C92" s="4">
        <v>24</v>
      </c>
      <c r="D92" s="4">
        <v>4</v>
      </c>
      <c r="E92" s="4">
        <v>3</v>
      </c>
      <c r="F92" s="4">
        <v>1</v>
      </c>
      <c r="G92" s="4">
        <v>1</v>
      </c>
      <c r="H92" s="4">
        <v>0</v>
      </c>
      <c r="I92" s="4">
        <v>0</v>
      </c>
      <c r="J92" s="4">
        <v>1</v>
      </c>
      <c r="K92" s="4">
        <v>2</v>
      </c>
      <c r="L92" s="4">
        <v>3</v>
      </c>
      <c r="M92" s="4">
        <v>5</v>
      </c>
      <c r="N92" s="4">
        <v>0</v>
      </c>
      <c r="O92" s="4">
        <v>1</v>
      </c>
      <c r="P92" s="4">
        <v>1</v>
      </c>
      <c r="Q92" s="4">
        <v>3</v>
      </c>
      <c r="R92" s="4">
        <v>1</v>
      </c>
      <c r="S92" s="4">
        <v>1</v>
      </c>
      <c r="T92" s="4">
        <v>24</v>
      </c>
      <c r="U92" s="8" t="s">
        <v>119</v>
      </c>
      <c r="V92" s="4" t="s">
        <v>120</v>
      </c>
      <c r="W92" s="4" t="s">
        <v>121</v>
      </c>
      <c r="X92" s="4" t="s">
        <v>48</v>
      </c>
      <c r="Y92" s="8" t="s">
        <v>65</v>
      </c>
      <c r="Z92" s="4"/>
    </row>
    <row r="93" spans="1:26">
      <c r="A93" s="5" t="s">
        <v>118</v>
      </c>
      <c r="B93" s="5" t="s">
        <v>49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8"/>
      <c r="V93" s="5"/>
      <c r="W93" s="5"/>
      <c r="X93" s="5"/>
      <c r="Y93" s="5"/>
      <c r="Z93" s="5"/>
    </row>
    <row r="94" spans="1:26">
      <c r="A94" s="4" t="s">
        <v>118</v>
      </c>
      <c r="B94" s="4" t="s">
        <v>52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8"/>
      <c r="V94" s="4"/>
      <c r="W94" s="4"/>
      <c r="X94" s="4"/>
      <c r="Y94" s="4"/>
      <c r="Z94" s="4"/>
    </row>
    <row r="95" spans="1:26">
      <c r="A95" s="5" t="s">
        <v>118</v>
      </c>
      <c r="B95" s="5" t="s">
        <v>55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8"/>
      <c r="V95" s="5"/>
      <c r="W95" s="5"/>
      <c r="X95" s="5"/>
      <c r="Y95" s="5"/>
      <c r="Z95" s="5"/>
    </row>
    <row r="96" spans="1:26">
      <c r="A96" s="4" t="s">
        <v>118</v>
      </c>
      <c r="B96" s="4" t="s">
        <v>56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8"/>
      <c r="V96" s="4"/>
      <c r="W96" s="4"/>
      <c r="X96" s="4"/>
      <c r="Y96" s="4"/>
      <c r="Z96" s="4"/>
    </row>
    <row r="97" spans="1:26">
      <c r="A97" s="5" t="s">
        <v>122</v>
      </c>
      <c r="B97" s="5" t="s">
        <v>44</v>
      </c>
      <c r="C97" s="5">
        <v>24</v>
      </c>
      <c r="D97" s="5">
        <v>5</v>
      </c>
      <c r="E97" s="5">
        <v>4</v>
      </c>
      <c r="F97" s="5">
        <v>1</v>
      </c>
      <c r="G97" s="5">
        <v>1</v>
      </c>
      <c r="H97" s="5">
        <v>0</v>
      </c>
      <c r="I97" s="5">
        <v>1</v>
      </c>
      <c r="J97" s="5">
        <v>1</v>
      </c>
      <c r="K97" s="5">
        <v>2</v>
      </c>
      <c r="L97" s="5">
        <v>3</v>
      </c>
      <c r="M97" s="5">
        <v>4</v>
      </c>
      <c r="N97" s="5">
        <v>0</v>
      </c>
      <c r="O97" s="5">
        <v>0</v>
      </c>
      <c r="P97" s="5">
        <v>1</v>
      </c>
      <c r="Q97" s="5">
        <v>3</v>
      </c>
      <c r="R97" s="5">
        <v>1</v>
      </c>
      <c r="S97" s="5">
        <v>1</v>
      </c>
      <c r="T97" s="5">
        <v>24</v>
      </c>
      <c r="U97" s="8" t="s">
        <v>119</v>
      </c>
      <c r="V97" s="5" t="s">
        <v>123</v>
      </c>
      <c r="W97" s="5" t="s">
        <v>124</v>
      </c>
      <c r="X97" s="5" t="s">
        <v>48</v>
      </c>
      <c r="Y97" s="8" t="s">
        <v>65</v>
      </c>
      <c r="Z97" s="5"/>
    </row>
    <row r="98" spans="1:26">
      <c r="A98" s="4" t="s">
        <v>122</v>
      </c>
      <c r="B98" s="4" t="s">
        <v>49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8"/>
      <c r="V98" s="4"/>
      <c r="W98" s="4"/>
      <c r="X98" s="4"/>
      <c r="Y98" s="4"/>
      <c r="Z98" s="4"/>
    </row>
    <row r="99" spans="1:26">
      <c r="A99" s="5" t="s">
        <v>122</v>
      </c>
      <c r="B99" s="5" t="s">
        <v>52</v>
      </c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8"/>
      <c r="V99" s="5"/>
      <c r="W99" s="5"/>
      <c r="X99" s="5"/>
      <c r="Y99" s="5"/>
      <c r="Z99" s="5"/>
    </row>
    <row r="100" spans="1:26">
      <c r="A100" s="4" t="s">
        <v>122</v>
      </c>
      <c r="B100" s="4" t="s">
        <v>55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8"/>
      <c r="V100" s="4"/>
      <c r="W100" s="4"/>
      <c r="X100" s="4"/>
      <c r="Y100" s="4"/>
      <c r="Z100" s="4"/>
    </row>
    <row r="101" spans="1:26">
      <c r="A101" s="5" t="s">
        <v>122</v>
      </c>
      <c r="B101" s="5" t="s">
        <v>56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8"/>
      <c r="V101" s="5"/>
      <c r="W101" s="5"/>
      <c r="X101" s="5"/>
      <c r="Y101" s="5"/>
      <c r="Z101" s="5"/>
    </row>
    <row r="102" spans="1:26">
      <c r="A102" s="4" t="s">
        <v>125</v>
      </c>
      <c r="B102" s="4" t="s">
        <v>44</v>
      </c>
      <c r="C102" s="4">
        <v>21</v>
      </c>
      <c r="D102" s="4">
        <v>1</v>
      </c>
      <c r="E102" s="4">
        <v>4</v>
      </c>
      <c r="F102" s="4">
        <v>1</v>
      </c>
      <c r="G102" s="4">
        <v>1</v>
      </c>
      <c r="H102" s="4">
        <v>1</v>
      </c>
      <c r="I102" s="4">
        <v>0</v>
      </c>
      <c r="J102" s="4">
        <v>1</v>
      </c>
      <c r="K102" s="4">
        <v>2</v>
      </c>
      <c r="L102" s="4">
        <v>3</v>
      </c>
      <c r="M102" s="4">
        <v>4</v>
      </c>
      <c r="N102" s="4">
        <v>0</v>
      </c>
      <c r="O102" s="4">
        <v>1</v>
      </c>
      <c r="P102" s="4">
        <v>1</v>
      </c>
      <c r="Q102" s="4">
        <v>3</v>
      </c>
      <c r="R102" s="4">
        <v>1</v>
      </c>
      <c r="S102" s="4">
        <v>1</v>
      </c>
      <c r="T102" s="4">
        <v>21</v>
      </c>
      <c r="U102" s="8" t="s">
        <v>45</v>
      </c>
      <c r="V102" s="4" t="s">
        <v>126</v>
      </c>
      <c r="W102" s="4" t="s">
        <v>127</v>
      </c>
      <c r="X102" s="4" t="s">
        <v>48</v>
      </c>
      <c r="Y102" s="4"/>
      <c r="Z102" s="8"/>
    </row>
    <row r="103" spans="1:26">
      <c r="A103" s="5" t="s">
        <v>125</v>
      </c>
      <c r="B103" s="5" t="s">
        <v>49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8"/>
      <c r="V103" s="5"/>
      <c r="W103" s="5"/>
      <c r="X103" s="5"/>
      <c r="Y103" s="5"/>
      <c r="Z103" s="5"/>
    </row>
    <row r="104" spans="1:26">
      <c r="A104" s="4" t="s">
        <v>125</v>
      </c>
      <c r="B104" s="4" t="s">
        <v>52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8"/>
      <c r="V104" s="4"/>
      <c r="W104" s="4"/>
      <c r="X104" s="4"/>
      <c r="Y104" s="4"/>
      <c r="Z104" s="4"/>
    </row>
    <row r="105" spans="1:26">
      <c r="A105" s="5" t="s">
        <v>125</v>
      </c>
      <c r="B105" s="5" t="s">
        <v>55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8"/>
      <c r="V105" s="5"/>
      <c r="W105" s="5"/>
      <c r="X105" s="5"/>
      <c r="Y105" s="5"/>
      <c r="Z105" s="5"/>
    </row>
    <row r="106" spans="1:26">
      <c r="A106" s="4" t="s">
        <v>125</v>
      </c>
      <c r="B106" s="4" t="s">
        <v>56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8"/>
      <c r="V106" s="4"/>
      <c r="W106" s="4"/>
      <c r="X106" s="4"/>
      <c r="Y106" s="4"/>
      <c r="Z106" s="4"/>
    </row>
    <row r="107" spans="1:26">
      <c r="A107" s="5" t="s">
        <v>128</v>
      </c>
      <c r="B107" s="5" t="s">
        <v>44</v>
      </c>
      <c r="C107" s="5">
        <v>22</v>
      </c>
      <c r="D107" s="5">
        <v>4</v>
      </c>
      <c r="E107" s="5">
        <v>4</v>
      </c>
      <c r="F107" s="5">
        <v>1</v>
      </c>
      <c r="G107" s="5">
        <v>1</v>
      </c>
      <c r="H107" s="5">
        <v>0</v>
      </c>
      <c r="I107" s="5">
        <v>1</v>
      </c>
      <c r="J107" s="5">
        <v>1</v>
      </c>
      <c r="K107" s="5">
        <v>2</v>
      </c>
      <c r="L107" s="5">
        <v>3</v>
      </c>
      <c r="M107" s="5">
        <v>2</v>
      </c>
      <c r="N107" s="5">
        <v>0</v>
      </c>
      <c r="O107" s="5">
        <v>1</v>
      </c>
      <c r="P107" s="5">
        <v>1</v>
      </c>
      <c r="Q107" s="5">
        <v>3</v>
      </c>
      <c r="R107" s="5">
        <v>1</v>
      </c>
      <c r="S107" s="5">
        <v>1</v>
      </c>
      <c r="T107" s="5">
        <v>22</v>
      </c>
      <c r="U107" s="8"/>
      <c r="V107" s="5" t="s">
        <v>129</v>
      </c>
      <c r="W107" s="5" t="s">
        <v>130</v>
      </c>
      <c r="X107" s="5" t="s">
        <v>48</v>
      </c>
      <c r="Y107" s="5" t="s">
        <v>65</v>
      </c>
      <c r="Z107" s="8"/>
    </row>
    <row r="108" spans="1:26">
      <c r="A108" s="4" t="s">
        <v>128</v>
      </c>
      <c r="B108" s="4" t="s">
        <v>49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8"/>
      <c r="V108" s="4"/>
      <c r="W108" s="4"/>
      <c r="X108" s="4"/>
      <c r="Y108" s="4"/>
      <c r="Z108" s="4"/>
    </row>
    <row r="109" spans="1:26">
      <c r="A109" s="5" t="s">
        <v>128</v>
      </c>
      <c r="B109" s="5" t="s">
        <v>52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8"/>
      <c r="V109" s="5"/>
      <c r="W109" s="5"/>
      <c r="X109" s="5"/>
      <c r="Y109" s="5"/>
      <c r="Z109" s="5"/>
    </row>
    <row r="110" spans="1:26">
      <c r="A110" s="4" t="s">
        <v>128</v>
      </c>
      <c r="B110" s="4" t="s">
        <v>55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8"/>
      <c r="V110" s="4"/>
      <c r="W110" s="4"/>
      <c r="X110" s="4"/>
      <c r="Y110" s="4"/>
      <c r="Z110" s="4"/>
    </row>
    <row r="111" spans="1:26">
      <c r="A111" s="5" t="s">
        <v>128</v>
      </c>
      <c r="B111" s="5" t="s">
        <v>56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8"/>
      <c r="V111" s="5"/>
      <c r="W111" s="5"/>
      <c r="X111" s="5"/>
      <c r="Y111" s="5"/>
      <c r="Z111" s="5"/>
    </row>
    <row r="112" spans="1:26">
      <c r="A112" s="4" t="s">
        <v>131</v>
      </c>
      <c r="B112" s="4" t="s">
        <v>44</v>
      </c>
      <c r="C112" s="4">
        <v>25</v>
      </c>
      <c r="D112" s="4">
        <v>4</v>
      </c>
      <c r="E112" s="4">
        <v>5</v>
      </c>
      <c r="F112" s="4">
        <v>1</v>
      </c>
      <c r="G112" s="4">
        <v>1</v>
      </c>
      <c r="H112" s="4">
        <v>1</v>
      </c>
      <c r="I112" s="4">
        <v>1</v>
      </c>
      <c r="J112" s="4">
        <v>1</v>
      </c>
      <c r="K112" s="4">
        <v>2</v>
      </c>
      <c r="L112" s="4">
        <v>3</v>
      </c>
      <c r="M112" s="4">
        <v>4</v>
      </c>
      <c r="N112" s="4">
        <v>0</v>
      </c>
      <c r="O112" s="4">
        <v>1</v>
      </c>
      <c r="P112" s="4">
        <v>1</v>
      </c>
      <c r="Q112" s="4">
        <v>3</v>
      </c>
      <c r="R112" s="4">
        <v>1</v>
      </c>
      <c r="S112" s="4">
        <v>1</v>
      </c>
      <c r="T112" s="4">
        <v>25</v>
      </c>
      <c r="U112" s="8" t="s">
        <v>45</v>
      </c>
      <c r="V112" s="4" t="s">
        <v>132</v>
      </c>
      <c r="W112" s="4" t="s">
        <v>133</v>
      </c>
      <c r="X112" s="4" t="s">
        <v>48</v>
      </c>
      <c r="Y112" s="8"/>
      <c r="Z112" s="8" t="s">
        <v>85</v>
      </c>
    </row>
    <row r="113" spans="1:26">
      <c r="A113" s="5" t="s">
        <v>131</v>
      </c>
      <c r="B113" s="5" t="s">
        <v>49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8"/>
      <c r="V113" s="5"/>
      <c r="W113" s="5"/>
      <c r="X113" s="5"/>
      <c r="Y113" s="5"/>
      <c r="Z113" s="8"/>
    </row>
    <row r="114" spans="1:26">
      <c r="A114" s="4" t="s">
        <v>131</v>
      </c>
      <c r="B114" s="4" t="s">
        <v>52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8"/>
      <c r="V114" s="4"/>
      <c r="W114" s="4"/>
      <c r="X114" s="4"/>
      <c r="Y114" s="4"/>
      <c r="Z114" s="8"/>
    </row>
    <row r="115" spans="1:26">
      <c r="A115" s="5" t="s">
        <v>131</v>
      </c>
      <c r="B115" s="5" t="s">
        <v>55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8"/>
      <c r="V115" s="5"/>
      <c r="W115" s="5"/>
      <c r="X115" s="5"/>
      <c r="Y115" s="5"/>
      <c r="Z115" s="8"/>
    </row>
    <row r="116" spans="1:26">
      <c r="A116" s="4" t="s">
        <v>131</v>
      </c>
      <c r="B116" s="4" t="s">
        <v>56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8"/>
      <c r="V116" s="4"/>
      <c r="W116" s="4"/>
      <c r="X116" s="4"/>
      <c r="Y116" s="4"/>
      <c r="Z116" s="4"/>
    </row>
    <row r="117" spans="1:26">
      <c r="A117" s="5" t="s">
        <v>134</v>
      </c>
      <c r="B117" s="5" t="s">
        <v>44</v>
      </c>
      <c r="C117" s="5">
        <v>26</v>
      </c>
      <c r="D117" s="5">
        <v>5</v>
      </c>
      <c r="E117" s="5">
        <v>4</v>
      </c>
      <c r="F117" s="5">
        <v>1</v>
      </c>
      <c r="G117" s="5">
        <v>0</v>
      </c>
      <c r="H117" s="5">
        <v>1</v>
      </c>
      <c r="I117" s="5">
        <v>1</v>
      </c>
      <c r="J117" s="5">
        <v>1</v>
      </c>
      <c r="K117" s="5">
        <v>2</v>
      </c>
      <c r="L117" s="5">
        <v>3</v>
      </c>
      <c r="M117" s="5">
        <v>5</v>
      </c>
      <c r="N117" s="5">
        <v>0</v>
      </c>
      <c r="O117" s="5">
        <v>1</v>
      </c>
      <c r="P117" s="5">
        <v>1</v>
      </c>
      <c r="Q117" s="5">
        <v>3</v>
      </c>
      <c r="R117" s="5">
        <v>1</v>
      </c>
      <c r="S117" s="5">
        <v>1</v>
      </c>
      <c r="T117" s="5">
        <v>26</v>
      </c>
      <c r="U117" s="8" t="s">
        <v>45</v>
      </c>
      <c r="V117" s="5" t="s">
        <v>135</v>
      </c>
      <c r="W117" s="5" t="s">
        <v>136</v>
      </c>
      <c r="X117" s="5" t="s">
        <v>48</v>
      </c>
      <c r="Y117" s="8"/>
      <c r="Z117" s="8"/>
    </row>
    <row r="118" spans="1:26">
      <c r="A118" s="4" t="s">
        <v>134</v>
      </c>
      <c r="B118" s="4" t="s">
        <v>49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8"/>
      <c r="V118" s="4"/>
      <c r="W118" s="4"/>
      <c r="X118" s="4"/>
      <c r="Y118" s="4"/>
      <c r="Z118" s="8"/>
    </row>
    <row r="119" spans="1:26">
      <c r="A119" s="5" t="s">
        <v>134</v>
      </c>
      <c r="B119" s="5" t="s">
        <v>52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8"/>
      <c r="V119" s="5"/>
      <c r="W119" s="5"/>
      <c r="X119" s="5"/>
      <c r="Y119" s="5"/>
      <c r="Z119" s="8"/>
    </row>
    <row r="120" spans="1:26">
      <c r="A120" s="4" t="s">
        <v>134</v>
      </c>
      <c r="B120" s="4" t="s">
        <v>55</v>
      </c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8"/>
      <c r="V120" s="4"/>
      <c r="W120" s="4"/>
      <c r="X120" s="4"/>
      <c r="Y120" s="4"/>
      <c r="Z120" s="8"/>
    </row>
    <row r="121" spans="1:26">
      <c r="A121" s="5" t="s">
        <v>134</v>
      </c>
      <c r="B121" s="5" t="s">
        <v>56</v>
      </c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8"/>
      <c r="V121" s="5"/>
      <c r="W121" s="5"/>
      <c r="X121" s="5"/>
      <c r="Y121" s="5"/>
      <c r="Z121" s="5"/>
    </row>
    <row r="122" spans="1:26">
      <c r="A122" s="4" t="s">
        <v>137</v>
      </c>
      <c r="B122" s="4" t="s">
        <v>44</v>
      </c>
      <c r="C122" s="4">
        <v>21</v>
      </c>
      <c r="D122" s="4">
        <v>2</v>
      </c>
      <c r="E122" s="4">
        <v>3</v>
      </c>
      <c r="F122" s="4">
        <v>1</v>
      </c>
      <c r="G122" s="4">
        <v>1</v>
      </c>
      <c r="H122" s="4">
        <v>0</v>
      </c>
      <c r="I122" s="4">
        <v>0</v>
      </c>
      <c r="J122" s="4">
        <v>1</v>
      </c>
      <c r="K122" s="4">
        <v>2</v>
      </c>
      <c r="L122" s="4">
        <v>3</v>
      </c>
      <c r="M122" s="4">
        <v>3</v>
      </c>
      <c r="N122" s="4">
        <v>1</v>
      </c>
      <c r="O122" s="4">
        <v>1</v>
      </c>
      <c r="P122" s="4">
        <v>1</v>
      </c>
      <c r="Q122" s="4">
        <v>3</v>
      </c>
      <c r="R122" s="4">
        <v>1</v>
      </c>
      <c r="S122" s="4">
        <v>1</v>
      </c>
      <c r="T122" s="4">
        <v>21</v>
      </c>
      <c r="U122" s="8" t="s">
        <v>119</v>
      </c>
      <c r="V122" s="4" t="s">
        <v>138</v>
      </c>
      <c r="W122" s="4" t="s">
        <v>139</v>
      </c>
      <c r="X122" s="4" t="s">
        <v>48</v>
      </c>
      <c r="Y122" s="8" t="s">
        <v>65</v>
      </c>
      <c r="Z122" s="8"/>
    </row>
    <row r="123" spans="1:26">
      <c r="A123" s="5" t="s">
        <v>137</v>
      </c>
      <c r="B123" s="5" t="s">
        <v>49</v>
      </c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8"/>
      <c r="V123" s="5"/>
      <c r="W123" s="5"/>
      <c r="X123" s="5"/>
      <c r="Y123" s="5"/>
      <c r="Z123" s="8"/>
    </row>
    <row r="124" spans="1:26">
      <c r="A124" s="4" t="s">
        <v>137</v>
      </c>
      <c r="B124" s="4" t="s">
        <v>52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8"/>
      <c r="V124" s="4"/>
      <c r="W124" s="4"/>
      <c r="X124" s="4"/>
      <c r="Y124" s="4"/>
      <c r="Z124" s="8"/>
    </row>
    <row r="125" spans="1:26">
      <c r="A125" s="5" t="s">
        <v>137</v>
      </c>
      <c r="B125" s="5" t="s">
        <v>55</v>
      </c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8"/>
      <c r="V125" s="5"/>
      <c r="W125" s="5"/>
      <c r="X125" s="5"/>
      <c r="Y125" s="5"/>
      <c r="Z125" s="8"/>
    </row>
    <row r="126" spans="1:26">
      <c r="A126" s="4" t="s">
        <v>137</v>
      </c>
      <c r="B126" s="4" t="s">
        <v>56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8"/>
      <c r="V126" s="4"/>
      <c r="W126" s="4"/>
      <c r="X126" s="4"/>
      <c r="Y126" s="4"/>
      <c r="Z126" s="8"/>
    </row>
    <row r="127" spans="1:26">
      <c r="A127" s="5" t="s">
        <v>140</v>
      </c>
      <c r="B127" s="5" t="s">
        <v>44</v>
      </c>
      <c r="C127" s="5">
        <v>25</v>
      </c>
      <c r="D127" s="5">
        <v>4</v>
      </c>
      <c r="E127" s="5">
        <v>5</v>
      </c>
      <c r="F127" s="5">
        <v>1</v>
      </c>
      <c r="G127" s="5">
        <v>1</v>
      </c>
      <c r="H127" s="5">
        <v>1</v>
      </c>
      <c r="I127" s="5">
        <v>1</v>
      </c>
      <c r="J127" s="5">
        <v>1</v>
      </c>
      <c r="K127" s="5">
        <v>2</v>
      </c>
      <c r="L127" s="5">
        <v>3</v>
      </c>
      <c r="M127" s="5">
        <v>5</v>
      </c>
      <c r="N127" s="5">
        <v>1</v>
      </c>
      <c r="O127" s="5">
        <v>0</v>
      </c>
      <c r="P127" s="5">
        <v>1</v>
      </c>
      <c r="Q127" s="5">
        <v>2</v>
      </c>
      <c r="R127" s="5">
        <v>1</v>
      </c>
      <c r="S127" s="5">
        <v>1</v>
      </c>
      <c r="T127" s="5">
        <v>25</v>
      </c>
      <c r="U127" s="8" t="s">
        <v>45</v>
      </c>
      <c r="V127" s="5" t="s">
        <v>141</v>
      </c>
      <c r="W127" s="5" t="s">
        <v>142</v>
      </c>
      <c r="X127" s="5" t="s">
        <v>48</v>
      </c>
      <c r="Y127" s="8"/>
      <c r="Z127" s="8"/>
    </row>
    <row r="128" spans="1:26">
      <c r="A128" s="4" t="s">
        <v>140</v>
      </c>
      <c r="B128" s="4" t="s">
        <v>49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8"/>
      <c r="V128" s="4"/>
      <c r="W128" s="4"/>
      <c r="X128" s="4"/>
      <c r="Y128" s="4"/>
      <c r="Z128" s="8"/>
    </row>
    <row r="129" spans="1:26">
      <c r="A129" s="5" t="s">
        <v>140</v>
      </c>
      <c r="B129" s="5" t="s">
        <v>52</v>
      </c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8"/>
      <c r="V129" s="5"/>
      <c r="W129" s="5"/>
      <c r="X129" s="5"/>
      <c r="Y129" s="5"/>
      <c r="Z129" s="8"/>
    </row>
    <row r="130" spans="1:26">
      <c r="A130" s="4" t="s">
        <v>140</v>
      </c>
      <c r="B130" s="4" t="s">
        <v>55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8"/>
      <c r="V130" s="4"/>
      <c r="W130" s="4"/>
      <c r="X130" s="4"/>
      <c r="Y130" s="4"/>
      <c r="Z130" s="8"/>
    </row>
    <row r="131" spans="1:26">
      <c r="A131" s="5" t="s">
        <v>140</v>
      </c>
      <c r="B131" s="5" t="s">
        <v>56</v>
      </c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8"/>
      <c r="V131" s="5"/>
      <c r="W131" s="5"/>
      <c r="X131" s="5"/>
      <c r="Y131" s="5"/>
      <c r="Z131" s="8"/>
    </row>
    <row r="132" spans="1:26">
      <c r="A132" s="4" t="s">
        <v>143</v>
      </c>
      <c r="B132" s="4" t="s">
        <v>44</v>
      </c>
      <c r="C132" s="4">
        <v>26</v>
      </c>
      <c r="D132" s="4">
        <v>5</v>
      </c>
      <c r="E132" s="4">
        <v>5</v>
      </c>
      <c r="F132" s="4">
        <v>1</v>
      </c>
      <c r="G132" s="4">
        <v>1</v>
      </c>
      <c r="H132" s="4">
        <v>1</v>
      </c>
      <c r="I132" s="4">
        <v>1</v>
      </c>
      <c r="J132" s="4">
        <v>1</v>
      </c>
      <c r="K132" s="4">
        <v>2</v>
      </c>
      <c r="L132" s="4">
        <v>3</v>
      </c>
      <c r="M132" s="4">
        <v>4</v>
      </c>
      <c r="N132" s="4">
        <v>0</v>
      </c>
      <c r="O132" s="4">
        <v>1</v>
      </c>
      <c r="P132" s="4">
        <v>1</v>
      </c>
      <c r="Q132" s="4">
        <v>3</v>
      </c>
      <c r="R132" s="4">
        <v>1</v>
      </c>
      <c r="S132" s="4">
        <v>1</v>
      </c>
      <c r="T132" s="4">
        <v>26</v>
      </c>
      <c r="U132" s="8" t="s">
        <v>45</v>
      </c>
      <c r="V132" s="4" t="s">
        <v>144</v>
      </c>
      <c r="W132" s="4" t="s">
        <v>145</v>
      </c>
      <c r="X132" s="4" t="s">
        <v>48</v>
      </c>
      <c r="Y132" s="8"/>
      <c r="Z132" s="8"/>
    </row>
    <row r="133" spans="1:26">
      <c r="A133" s="5" t="s">
        <v>143</v>
      </c>
      <c r="B133" s="5" t="s">
        <v>49</v>
      </c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8"/>
      <c r="V133" s="5"/>
      <c r="W133" s="5"/>
      <c r="X133" s="5"/>
      <c r="Y133" s="5"/>
      <c r="Z133" s="5"/>
    </row>
    <row r="134" spans="1:26">
      <c r="A134" s="4" t="s">
        <v>143</v>
      </c>
      <c r="B134" s="4" t="s">
        <v>52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8"/>
      <c r="V134" s="4"/>
      <c r="W134" s="4"/>
      <c r="X134" s="4"/>
      <c r="Y134" s="4"/>
      <c r="Z134" s="8"/>
    </row>
    <row r="135" spans="1:26">
      <c r="A135" s="5" t="s">
        <v>143</v>
      </c>
      <c r="B135" s="5" t="s">
        <v>55</v>
      </c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8"/>
      <c r="V135" s="5"/>
      <c r="W135" s="5"/>
      <c r="X135" s="5"/>
      <c r="Y135" s="5"/>
      <c r="Z135" s="5"/>
    </row>
    <row r="136" spans="1:26">
      <c r="A136" s="4" t="s">
        <v>143</v>
      </c>
      <c r="B136" s="4" t="s">
        <v>56</v>
      </c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8"/>
      <c r="V136" s="4"/>
      <c r="W136" s="4"/>
      <c r="X136" s="4"/>
      <c r="Y136" s="4"/>
      <c r="Z136" s="8"/>
    </row>
    <row r="137" spans="1:26">
      <c r="A137" s="5" t="s">
        <v>146</v>
      </c>
      <c r="B137" s="5" t="s">
        <v>44</v>
      </c>
      <c r="C137" s="5">
        <v>28</v>
      </c>
      <c r="D137" s="5">
        <v>5</v>
      </c>
      <c r="E137" s="5">
        <v>5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  <c r="K137" s="5">
        <v>2</v>
      </c>
      <c r="L137" s="5">
        <v>3</v>
      </c>
      <c r="M137" s="5">
        <v>5</v>
      </c>
      <c r="N137" s="5">
        <v>1</v>
      </c>
      <c r="O137" s="5">
        <v>1</v>
      </c>
      <c r="P137" s="5">
        <v>1</v>
      </c>
      <c r="Q137" s="5">
        <v>3</v>
      </c>
      <c r="R137" s="5">
        <v>1</v>
      </c>
      <c r="S137" s="5">
        <v>1</v>
      </c>
      <c r="T137" s="5">
        <v>28</v>
      </c>
      <c r="U137" s="8" t="s">
        <v>45</v>
      </c>
      <c r="V137" s="5" t="s">
        <v>147</v>
      </c>
      <c r="W137" s="5" t="s">
        <v>148</v>
      </c>
      <c r="X137" s="5" t="s">
        <v>48</v>
      </c>
      <c r="Y137" s="8"/>
      <c r="Z137" s="8"/>
    </row>
    <row r="138" spans="1:26">
      <c r="A138" s="4" t="s">
        <v>146</v>
      </c>
      <c r="B138" s="4" t="s">
        <v>49</v>
      </c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8"/>
      <c r="V138" s="4"/>
      <c r="W138" s="4"/>
      <c r="X138" s="4"/>
      <c r="Y138" s="4"/>
      <c r="Z138" s="8"/>
    </row>
    <row r="139" spans="1:26">
      <c r="A139" s="5" t="s">
        <v>146</v>
      </c>
      <c r="B139" s="5" t="s">
        <v>52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8"/>
      <c r="V139" s="5"/>
      <c r="W139" s="5"/>
      <c r="X139" s="5"/>
      <c r="Y139" s="5"/>
      <c r="Z139" s="8"/>
    </row>
    <row r="140" spans="1:26">
      <c r="A140" s="4" t="s">
        <v>146</v>
      </c>
      <c r="B140" s="4" t="s">
        <v>55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8"/>
      <c r="V140" s="4"/>
      <c r="W140" s="4"/>
      <c r="X140" s="4"/>
      <c r="Y140" s="4"/>
      <c r="Z140" s="4"/>
    </row>
    <row r="141" spans="1:26">
      <c r="A141" s="5" t="s">
        <v>146</v>
      </c>
      <c r="B141" s="5" t="s">
        <v>56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8"/>
      <c r="V141" s="5"/>
      <c r="W141" s="5"/>
      <c r="X141" s="5"/>
      <c r="Y141" s="5"/>
      <c r="Z141" s="8"/>
    </row>
    <row r="142" spans="1:26">
      <c r="A142" s="4" t="s">
        <v>149</v>
      </c>
      <c r="B142" s="4" t="s">
        <v>44</v>
      </c>
      <c r="C142" s="4">
        <v>27</v>
      </c>
      <c r="D142" s="4">
        <v>5</v>
      </c>
      <c r="E142" s="4">
        <v>4</v>
      </c>
      <c r="F142" s="4">
        <v>1</v>
      </c>
      <c r="G142" s="4">
        <v>1</v>
      </c>
      <c r="H142" s="4">
        <v>1</v>
      </c>
      <c r="I142" s="4">
        <v>0</v>
      </c>
      <c r="J142" s="4">
        <v>1</v>
      </c>
      <c r="K142" s="4">
        <v>2</v>
      </c>
      <c r="L142" s="4">
        <v>3</v>
      </c>
      <c r="M142" s="4">
        <v>5</v>
      </c>
      <c r="N142" s="4">
        <v>1</v>
      </c>
      <c r="O142" s="4">
        <v>1</v>
      </c>
      <c r="P142" s="4">
        <v>1</v>
      </c>
      <c r="Q142" s="4">
        <v>3</v>
      </c>
      <c r="R142" s="4">
        <v>1</v>
      </c>
      <c r="S142" s="4">
        <v>1</v>
      </c>
      <c r="T142" s="4">
        <v>27</v>
      </c>
      <c r="U142" s="8" t="s">
        <v>45</v>
      </c>
      <c r="V142" s="4" t="s">
        <v>150</v>
      </c>
      <c r="W142" s="4" t="s">
        <v>151</v>
      </c>
      <c r="X142" s="4" t="s">
        <v>48</v>
      </c>
      <c r="Y142" s="8"/>
      <c r="Z142" s="8"/>
    </row>
    <row r="143" spans="1:26">
      <c r="A143" s="5" t="s">
        <v>149</v>
      </c>
      <c r="B143" s="5" t="s">
        <v>49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8"/>
      <c r="V143" s="5"/>
      <c r="W143" s="5"/>
      <c r="X143" s="5"/>
      <c r="Y143" s="5"/>
      <c r="Z143" s="8"/>
    </row>
    <row r="144" spans="1:26">
      <c r="A144" s="4" t="s">
        <v>149</v>
      </c>
      <c r="B144" s="4" t="s">
        <v>52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8"/>
      <c r="V144" s="4"/>
      <c r="W144" s="4"/>
      <c r="X144" s="4"/>
      <c r="Y144" s="4"/>
      <c r="Z144" s="8"/>
    </row>
    <row r="145" spans="1:26">
      <c r="A145" s="5" t="s">
        <v>149</v>
      </c>
      <c r="B145" s="5" t="s">
        <v>55</v>
      </c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8"/>
      <c r="V145" s="5"/>
      <c r="W145" s="5"/>
      <c r="X145" s="5"/>
      <c r="Y145" s="5"/>
      <c r="Z145" s="8"/>
    </row>
    <row r="146" spans="1:26">
      <c r="A146" s="4" t="s">
        <v>149</v>
      </c>
      <c r="B146" s="4" t="s">
        <v>56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8"/>
      <c r="V146" s="4"/>
      <c r="W146" s="4"/>
      <c r="X146" s="4"/>
      <c r="Y146" s="4"/>
      <c r="Z146" s="8"/>
    </row>
    <row r="147" spans="1:26">
      <c r="A147" s="5" t="s">
        <v>152</v>
      </c>
      <c r="B147" s="5" t="s">
        <v>44</v>
      </c>
      <c r="C147" s="5">
        <v>21</v>
      </c>
      <c r="D147" s="5">
        <v>3</v>
      </c>
      <c r="E147" s="5">
        <v>4</v>
      </c>
      <c r="F147" s="5">
        <v>1</v>
      </c>
      <c r="G147" s="5">
        <v>1</v>
      </c>
      <c r="H147" s="5">
        <v>1</v>
      </c>
      <c r="I147" s="5">
        <v>1</v>
      </c>
      <c r="J147" s="5">
        <v>0</v>
      </c>
      <c r="K147" s="5">
        <v>2</v>
      </c>
      <c r="L147" s="5">
        <v>3</v>
      </c>
      <c r="M147" s="5">
        <v>3</v>
      </c>
      <c r="N147" s="5">
        <v>0</v>
      </c>
      <c r="O147" s="5">
        <v>1</v>
      </c>
      <c r="P147" s="5">
        <v>1</v>
      </c>
      <c r="Q147" s="5">
        <v>2</v>
      </c>
      <c r="R147" s="5">
        <v>1</v>
      </c>
      <c r="S147" s="5">
        <v>1</v>
      </c>
      <c r="T147" s="5">
        <v>21</v>
      </c>
      <c r="U147" s="8" t="s">
        <v>45</v>
      </c>
      <c r="V147" s="5" t="s">
        <v>153</v>
      </c>
      <c r="W147" s="5" t="s">
        <v>154</v>
      </c>
      <c r="X147" s="5" t="s">
        <v>48</v>
      </c>
      <c r="Y147" s="8"/>
      <c r="Z147" s="8"/>
    </row>
    <row r="148" spans="1:26">
      <c r="A148" s="4" t="s">
        <v>152</v>
      </c>
      <c r="B148" s="4" t="s">
        <v>49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8"/>
      <c r="V148" s="4"/>
      <c r="W148" s="4"/>
      <c r="X148" s="4"/>
      <c r="Y148" s="4"/>
      <c r="Z148" s="8"/>
    </row>
    <row r="149" spans="1:26">
      <c r="A149" s="5" t="s">
        <v>152</v>
      </c>
      <c r="B149" s="5" t="s">
        <v>52</v>
      </c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8"/>
      <c r="V149" s="5"/>
      <c r="W149" s="5"/>
      <c r="X149" s="5"/>
      <c r="Y149" s="5"/>
      <c r="Z149" s="8"/>
    </row>
    <row r="150" spans="1:26">
      <c r="A150" s="4" t="s">
        <v>152</v>
      </c>
      <c r="B150" s="4" t="s">
        <v>55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8"/>
      <c r="V150" s="4"/>
      <c r="W150" s="4"/>
      <c r="X150" s="4"/>
      <c r="Y150" s="4"/>
      <c r="Z150" s="8"/>
    </row>
    <row r="151" spans="1:26">
      <c r="A151" s="5" t="s">
        <v>152</v>
      </c>
      <c r="B151" s="5" t="s">
        <v>56</v>
      </c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8"/>
      <c r="V151" s="5"/>
      <c r="W151" s="5"/>
      <c r="X151" s="5"/>
      <c r="Y151" s="5"/>
      <c r="Z151" s="8"/>
    </row>
  </sheetData>
  <phoneticPr fontId="4"/>
  <conditionalFormatting sqref="U2:U166">
    <cfRule type="expression" dxfId="5" priority="1">
      <formula>U2&lt;&gt;""</formula>
    </cfRule>
  </conditionalFormatting>
  <conditionalFormatting sqref="Y2:Z166">
    <cfRule type="expression" dxfId="4" priority="2">
      <formula>Y2&lt;&gt;""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1"/>
  <sheetViews>
    <sheetView zoomScaleNormal="100" workbookViewId="0">
      <pane xSplit="1" ySplit="1" topLeftCell="B107" activePane="bottomRight" state="frozen"/>
      <selection pane="topRight" activeCell="B1" sqref="B1"/>
      <selection pane="bottomLeft" activeCell="A2" sqref="A2"/>
      <selection pane="bottomRight" activeCell="L147" sqref="L147"/>
    </sheetView>
  </sheetViews>
  <sheetFormatPr defaultRowHeight="14.25"/>
  <cols>
    <col min="1" max="2" width="11" customWidth="1"/>
    <col min="3" max="3" width="18" customWidth="1"/>
    <col min="4" max="10" width="14" customWidth="1"/>
    <col min="11" max="12" width="18" customWidth="1"/>
    <col min="13" max="13" width="14" customWidth="1"/>
    <col min="14" max="15" width="24" customWidth="1"/>
    <col min="16" max="17" width="18" customWidth="1"/>
  </cols>
  <sheetData>
    <row r="1" spans="1:17" ht="32.1" customHeight="1">
      <c r="A1" s="3" t="s">
        <v>17</v>
      </c>
      <c r="B1" s="3" t="s">
        <v>18</v>
      </c>
      <c r="C1" s="3" t="s">
        <v>155</v>
      </c>
      <c r="D1" s="3" t="s">
        <v>156</v>
      </c>
      <c r="E1" s="3" t="s">
        <v>157</v>
      </c>
      <c r="F1" s="3" t="s">
        <v>158</v>
      </c>
      <c r="G1" s="3" t="s">
        <v>159</v>
      </c>
      <c r="H1" s="3" t="s">
        <v>160</v>
      </c>
      <c r="I1" s="3" t="s">
        <v>161</v>
      </c>
      <c r="J1" s="3" t="s">
        <v>162</v>
      </c>
      <c r="K1" s="3" t="s">
        <v>163</v>
      </c>
      <c r="L1" s="3" t="s">
        <v>164</v>
      </c>
      <c r="M1" s="3" t="s">
        <v>38</v>
      </c>
      <c r="N1" s="3" t="s">
        <v>39</v>
      </c>
      <c r="O1" s="3" t="s">
        <v>40</v>
      </c>
      <c r="P1" s="3" t="s">
        <v>41</v>
      </c>
      <c r="Q1" s="3" t="s">
        <v>42</v>
      </c>
    </row>
    <row r="2" spans="1:17">
      <c r="A2" s="4" t="s">
        <v>43</v>
      </c>
      <c r="B2" s="4" t="s">
        <v>44</v>
      </c>
      <c r="C2" s="4">
        <v>3</v>
      </c>
      <c r="D2" s="4">
        <v>0.5</v>
      </c>
      <c r="E2" s="4">
        <v>1</v>
      </c>
      <c r="F2" s="4">
        <v>0.5</v>
      </c>
      <c r="G2" s="4">
        <v>1</v>
      </c>
      <c r="H2" s="4">
        <v>0.5</v>
      </c>
      <c r="I2" s="4">
        <v>0</v>
      </c>
      <c r="J2" s="4">
        <v>0</v>
      </c>
      <c r="K2" s="4">
        <v>3</v>
      </c>
      <c r="L2" s="8" t="s">
        <v>119</v>
      </c>
      <c r="M2" s="4"/>
      <c r="N2" s="4" t="s">
        <v>47</v>
      </c>
      <c r="O2" s="4" t="s">
        <v>165</v>
      </c>
      <c r="P2" s="4" t="s">
        <v>65</v>
      </c>
      <c r="Q2" s="8"/>
    </row>
    <row r="3" spans="1:17">
      <c r="A3" s="5" t="s">
        <v>43</v>
      </c>
      <c r="B3" s="5" t="s">
        <v>49</v>
      </c>
      <c r="C3" s="5">
        <v>3</v>
      </c>
      <c r="D3" s="5">
        <v>0.5</v>
      </c>
      <c r="E3" s="5">
        <v>1</v>
      </c>
      <c r="F3" s="5">
        <v>0.5</v>
      </c>
      <c r="G3" s="5">
        <v>1</v>
      </c>
      <c r="H3" s="5">
        <v>0.5</v>
      </c>
      <c r="I3" s="5">
        <v>0</v>
      </c>
      <c r="J3" s="5">
        <v>0</v>
      </c>
      <c r="K3" s="5">
        <v>3</v>
      </c>
      <c r="L3" s="8" t="s">
        <v>45</v>
      </c>
      <c r="M3" s="5"/>
      <c r="N3" s="5" t="s">
        <v>47</v>
      </c>
      <c r="O3" s="5" t="s">
        <v>166</v>
      </c>
      <c r="P3" s="5"/>
      <c r="Q3" s="5"/>
    </row>
    <row r="4" spans="1:17">
      <c r="A4" s="4" t="s">
        <v>43</v>
      </c>
      <c r="B4" s="4" t="s">
        <v>52</v>
      </c>
      <c r="C4" s="4">
        <v>3</v>
      </c>
      <c r="D4" s="4">
        <v>0.5</v>
      </c>
      <c r="E4" s="4">
        <v>1</v>
      </c>
      <c r="F4" s="4">
        <v>0.5</v>
      </c>
      <c r="G4" s="4">
        <v>1</v>
      </c>
      <c r="H4" s="4">
        <v>0.5</v>
      </c>
      <c r="I4" s="4">
        <v>0</v>
      </c>
      <c r="J4" s="4">
        <v>0</v>
      </c>
      <c r="K4" s="4">
        <v>3</v>
      </c>
      <c r="L4" s="8" t="s">
        <v>45</v>
      </c>
      <c r="M4" s="4"/>
      <c r="N4" s="4" t="s">
        <v>47</v>
      </c>
      <c r="O4" s="4" t="s">
        <v>167</v>
      </c>
      <c r="P4" s="4"/>
      <c r="Q4" s="4"/>
    </row>
    <row r="5" spans="1:17">
      <c r="A5" s="5" t="s">
        <v>43</v>
      </c>
      <c r="B5" s="5" t="s">
        <v>55</v>
      </c>
      <c r="C5" s="5"/>
      <c r="D5" s="5"/>
      <c r="E5" s="5"/>
      <c r="F5" s="5"/>
      <c r="G5" s="5"/>
      <c r="H5" s="5"/>
      <c r="I5" s="5"/>
      <c r="J5" s="5"/>
      <c r="K5" s="5"/>
      <c r="L5" s="8"/>
      <c r="M5" s="5"/>
      <c r="N5" s="5"/>
      <c r="O5" s="5"/>
      <c r="P5" s="5"/>
      <c r="Q5" s="5"/>
    </row>
    <row r="6" spans="1:17">
      <c r="A6" s="4" t="s">
        <v>43</v>
      </c>
      <c r="B6" s="4" t="s">
        <v>56</v>
      </c>
      <c r="C6" s="4"/>
      <c r="D6" s="4"/>
      <c r="E6" s="4"/>
      <c r="F6" s="4"/>
      <c r="G6" s="4"/>
      <c r="H6" s="4"/>
      <c r="I6" s="4"/>
      <c r="J6" s="4"/>
      <c r="K6" s="4"/>
      <c r="L6" s="8"/>
      <c r="M6" s="4"/>
      <c r="N6" s="4"/>
      <c r="O6" s="4"/>
      <c r="P6" s="4"/>
      <c r="Q6" s="8"/>
    </row>
    <row r="7" spans="1:17">
      <c r="A7" s="5" t="s">
        <v>57</v>
      </c>
      <c r="B7" s="5" t="s">
        <v>44</v>
      </c>
      <c r="C7" s="5">
        <v>4</v>
      </c>
      <c r="D7" s="5">
        <v>1</v>
      </c>
      <c r="E7" s="5">
        <v>1</v>
      </c>
      <c r="F7" s="5">
        <v>0.5</v>
      </c>
      <c r="G7" s="5">
        <v>1</v>
      </c>
      <c r="H7" s="5">
        <v>1</v>
      </c>
      <c r="I7" s="5">
        <v>0.5</v>
      </c>
      <c r="J7" s="5">
        <v>0</v>
      </c>
      <c r="K7" s="5">
        <v>4</v>
      </c>
      <c r="L7" s="8" t="s">
        <v>45</v>
      </c>
      <c r="M7" s="5"/>
      <c r="N7" s="5" t="s">
        <v>59</v>
      </c>
      <c r="O7" s="5" t="s">
        <v>165</v>
      </c>
      <c r="P7" s="8"/>
      <c r="Q7" s="5"/>
    </row>
    <row r="8" spans="1:17">
      <c r="A8" s="4" t="s">
        <v>57</v>
      </c>
      <c r="B8" s="4" t="s">
        <v>49</v>
      </c>
      <c r="C8" s="4">
        <v>4</v>
      </c>
      <c r="D8" s="4">
        <v>1</v>
      </c>
      <c r="E8" s="4">
        <v>1</v>
      </c>
      <c r="F8" s="4">
        <v>0.5</v>
      </c>
      <c r="G8" s="4">
        <v>1</v>
      </c>
      <c r="H8" s="4">
        <v>1</v>
      </c>
      <c r="I8" s="4">
        <v>0.5</v>
      </c>
      <c r="J8" s="4">
        <v>0</v>
      </c>
      <c r="K8" s="4">
        <v>4</v>
      </c>
      <c r="L8" s="8" t="s">
        <v>45</v>
      </c>
      <c r="M8" s="4"/>
      <c r="N8" s="4" t="s">
        <v>59</v>
      </c>
      <c r="O8" s="4" t="s">
        <v>166</v>
      </c>
      <c r="P8" s="4"/>
      <c r="Q8" s="4"/>
    </row>
    <row r="9" spans="1:17">
      <c r="A9" s="5" t="s">
        <v>57</v>
      </c>
      <c r="B9" s="5" t="s">
        <v>52</v>
      </c>
      <c r="C9" s="5">
        <v>4</v>
      </c>
      <c r="D9" s="5">
        <v>1</v>
      </c>
      <c r="E9" s="5">
        <v>1</v>
      </c>
      <c r="F9" s="5">
        <v>0.5</v>
      </c>
      <c r="G9" s="5">
        <v>1</v>
      </c>
      <c r="H9" s="5">
        <v>1</v>
      </c>
      <c r="I9" s="5">
        <v>0.5</v>
      </c>
      <c r="J9" s="5">
        <v>0</v>
      </c>
      <c r="K9" s="5">
        <v>4</v>
      </c>
      <c r="L9" s="8" t="s">
        <v>45</v>
      </c>
      <c r="M9" s="5"/>
      <c r="N9" s="5" t="s">
        <v>59</v>
      </c>
      <c r="O9" s="5" t="s">
        <v>167</v>
      </c>
      <c r="P9" s="5"/>
      <c r="Q9" s="8"/>
    </row>
    <row r="10" spans="1:17">
      <c r="A10" s="4" t="s">
        <v>57</v>
      </c>
      <c r="B10" s="4" t="s">
        <v>55</v>
      </c>
      <c r="C10" s="4"/>
      <c r="D10" s="4"/>
      <c r="E10" s="4"/>
      <c r="F10" s="4"/>
      <c r="G10" s="4"/>
      <c r="H10" s="4"/>
      <c r="I10" s="4"/>
      <c r="J10" s="4"/>
      <c r="K10" s="4"/>
      <c r="L10" s="8"/>
      <c r="M10" s="4"/>
      <c r="N10" s="4"/>
      <c r="O10" s="4"/>
      <c r="P10" s="4"/>
      <c r="Q10" s="8"/>
    </row>
    <row r="11" spans="1:17">
      <c r="A11" s="5" t="s">
        <v>57</v>
      </c>
      <c r="B11" s="5" t="s">
        <v>56</v>
      </c>
      <c r="C11" s="5"/>
      <c r="D11" s="5"/>
      <c r="E11" s="5"/>
      <c r="F11" s="5"/>
      <c r="G11" s="5"/>
      <c r="H11" s="5"/>
      <c r="I11" s="5"/>
      <c r="J11" s="5"/>
      <c r="K11" s="5"/>
      <c r="L11" s="8"/>
      <c r="M11" s="5"/>
      <c r="N11" s="5"/>
      <c r="O11" s="5"/>
      <c r="P11" s="8"/>
      <c r="Q11" s="8"/>
    </row>
    <row r="12" spans="1:17">
      <c r="A12" s="4" t="s">
        <v>60</v>
      </c>
      <c r="B12" s="4" t="s">
        <v>44</v>
      </c>
      <c r="C12" s="4">
        <v>1.5</v>
      </c>
      <c r="D12" s="4">
        <v>0.5</v>
      </c>
      <c r="E12" s="4">
        <v>0.5</v>
      </c>
      <c r="F12" s="4">
        <v>0</v>
      </c>
      <c r="G12" s="4">
        <v>0.5</v>
      </c>
      <c r="H12" s="4">
        <v>0.5</v>
      </c>
      <c r="I12" s="4">
        <v>0</v>
      </c>
      <c r="J12" s="4">
        <v>0</v>
      </c>
      <c r="K12" s="4">
        <v>1.5</v>
      </c>
      <c r="L12" s="8" t="s">
        <v>45</v>
      </c>
      <c r="M12" s="4"/>
      <c r="N12" s="4" t="s">
        <v>62</v>
      </c>
      <c r="O12" s="4" t="s">
        <v>165</v>
      </c>
      <c r="P12" s="8"/>
      <c r="Q12" s="8"/>
    </row>
    <row r="13" spans="1:17">
      <c r="A13" s="5" t="s">
        <v>60</v>
      </c>
      <c r="B13" s="5" t="s">
        <v>49</v>
      </c>
      <c r="C13" s="5">
        <v>2.5</v>
      </c>
      <c r="D13" s="5">
        <v>0.5</v>
      </c>
      <c r="E13" s="5">
        <v>1</v>
      </c>
      <c r="F13" s="5">
        <v>0</v>
      </c>
      <c r="G13" s="5">
        <v>0.5</v>
      </c>
      <c r="H13" s="5">
        <v>0.5</v>
      </c>
      <c r="I13" s="5">
        <v>0.5</v>
      </c>
      <c r="J13" s="5">
        <v>0</v>
      </c>
      <c r="K13" s="5">
        <v>2.5</v>
      </c>
      <c r="L13" s="8" t="s">
        <v>45</v>
      </c>
      <c r="M13" s="5"/>
      <c r="N13" s="5" t="s">
        <v>62</v>
      </c>
      <c r="O13" s="5" t="s">
        <v>166</v>
      </c>
      <c r="P13" s="5"/>
      <c r="Q13" s="5"/>
    </row>
    <row r="14" spans="1:17">
      <c r="A14" s="4" t="s">
        <v>60</v>
      </c>
      <c r="B14" s="4" t="s">
        <v>52</v>
      </c>
      <c r="C14" s="4">
        <v>3</v>
      </c>
      <c r="D14" s="4">
        <v>0.5</v>
      </c>
      <c r="E14" s="4">
        <v>1</v>
      </c>
      <c r="F14" s="4">
        <v>0.5</v>
      </c>
      <c r="G14" s="4">
        <v>0.5</v>
      </c>
      <c r="H14" s="4">
        <v>0.5</v>
      </c>
      <c r="I14" s="4">
        <v>0.5</v>
      </c>
      <c r="J14" s="4">
        <v>0</v>
      </c>
      <c r="K14" s="4">
        <v>3</v>
      </c>
      <c r="L14" s="8" t="s">
        <v>45</v>
      </c>
      <c r="M14" s="4"/>
      <c r="N14" s="4" t="s">
        <v>62</v>
      </c>
      <c r="O14" s="4" t="s">
        <v>167</v>
      </c>
      <c r="P14" s="4"/>
      <c r="Q14" s="4"/>
    </row>
    <row r="15" spans="1:17">
      <c r="A15" s="5" t="s">
        <v>60</v>
      </c>
      <c r="B15" s="5" t="s">
        <v>55</v>
      </c>
      <c r="C15" s="5"/>
      <c r="D15" s="5"/>
      <c r="E15" s="5"/>
      <c r="F15" s="5"/>
      <c r="G15" s="5"/>
      <c r="H15" s="5"/>
      <c r="I15" s="5"/>
      <c r="J15" s="5"/>
      <c r="K15" s="5"/>
      <c r="L15" s="8"/>
      <c r="M15" s="5"/>
      <c r="N15" s="5"/>
      <c r="O15" s="5"/>
      <c r="P15" s="5"/>
      <c r="Q15" s="8"/>
    </row>
    <row r="16" spans="1:17">
      <c r="A16" s="4" t="s">
        <v>60</v>
      </c>
      <c r="B16" s="4" t="s">
        <v>56</v>
      </c>
      <c r="C16" s="4"/>
      <c r="D16" s="4"/>
      <c r="E16" s="4"/>
      <c r="F16" s="4"/>
      <c r="G16" s="4"/>
      <c r="H16" s="4"/>
      <c r="I16" s="4"/>
      <c r="J16" s="4"/>
      <c r="K16" s="4"/>
      <c r="L16" s="8"/>
      <c r="M16" s="4"/>
      <c r="N16" s="4"/>
      <c r="O16" s="4"/>
      <c r="P16" s="4"/>
      <c r="Q16" s="8"/>
    </row>
    <row r="17" spans="1:17">
      <c r="A17" s="5" t="s">
        <v>66</v>
      </c>
      <c r="B17" s="5" t="s">
        <v>44</v>
      </c>
      <c r="C17" s="5">
        <v>4.5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0.5</v>
      </c>
      <c r="J17" s="5">
        <v>0</v>
      </c>
      <c r="K17" s="5">
        <v>4.5</v>
      </c>
      <c r="L17" s="8" t="s">
        <v>45</v>
      </c>
      <c r="M17" s="5"/>
      <c r="N17" s="5" t="s">
        <v>68</v>
      </c>
      <c r="O17" s="5" t="s">
        <v>168</v>
      </c>
      <c r="P17" s="8"/>
      <c r="Q17" s="8"/>
    </row>
    <row r="18" spans="1:17">
      <c r="A18" s="4" t="s">
        <v>66</v>
      </c>
      <c r="B18" s="4" t="s">
        <v>49</v>
      </c>
      <c r="C18" s="4">
        <v>4.5</v>
      </c>
      <c r="D18" s="4">
        <v>1</v>
      </c>
      <c r="E18" s="4">
        <v>1</v>
      </c>
      <c r="F18" s="4">
        <v>1</v>
      </c>
      <c r="G18" s="4">
        <v>1</v>
      </c>
      <c r="H18" s="4">
        <v>1</v>
      </c>
      <c r="I18" s="4">
        <v>0.5</v>
      </c>
      <c r="J18" s="4">
        <v>0</v>
      </c>
      <c r="K18" s="4">
        <v>4.5</v>
      </c>
      <c r="L18" s="8" t="s">
        <v>45</v>
      </c>
      <c r="M18" s="4"/>
      <c r="N18" s="4" t="s">
        <v>68</v>
      </c>
      <c r="O18" s="4" t="s">
        <v>165</v>
      </c>
      <c r="P18" s="4"/>
      <c r="Q18" s="4"/>
    </row>
    <row r="19" spans="1:17">
      <c r="A19" s="5" t="s">
        <v>66</v>
      </c>
      <c r="B19" s="5" t="s">
        <v>52</v>
      </c>
      <c r="C19" s="5"/>
      <c r="D19" s="5"/>
      <c r="E19" s="5"/>
      <c r="F19" s="5"/>
      <c r="G19" s="5"/>
      <c r="H19" s="5"/>
      <c r="I19" s="5"/>
      <c r="J19" s="5"/>
      <c r="K19" s="5"/>
      <c r="L19" s="8"/>
      <c r="M19" s="5"/>
      <c r="N19" s="5"/>
      <c r="O19" s="5"/>
      <c r="P19" s="5"/>
      <c r="Q19" s="8"/>
    </row>
    <row r="20" spans="1:17">
      <c r="A20" s="4" t="s">
        <v>66</v>
      </c>
      <c r="B20" s="4" t="s">
        <v>55</v>
      </c>
      <c r="C20" s="4"/>
      <c r="D20" s="4"/>
      <c r="E20" s="4"/>
      <c r="F20" s="4"/>
      <c r="G20" s="4"/>
      <c r="H20" s="4"/>
      <c r="I20" s="4"/>
      <c r="J20" s="4"/>
      <c r="K20" s="4"/>
      <c r="L20" s="8"/>
      <c r="M20" s="4"/>
      <c r="N20" s="4"/>
      <c r="O20" s="4"/>
      <c r="P20" s="4"/>
      <c r="Q20" s="4"/>
    </row>
    <row r="21" spans="1:17">
      <c r="A21" s="5" t="s">
        <v>66</v>
      </c>
      <c r="B21" s="5" t="s">
        <v>56</v>
      </c>
      <c r="C21" s="5"/>
      <c r="D21" s="5"/>
      <c r="E21" s="5"/>
      <c r="F21" s="5"/>
      <c r="G21" s="5"/>
      <c r="H21" s="5"/>
      <c r="I21" s="5"/>
      <c r="J21" s="5"/>
      <c r="K21" s="5"/>
      <c r="L21" s="8"/>
      <c r="M21" s="5"/>
      <c r="N21" s="5"/>
      <c r="O21" s="5"/>
      <c r="P21" s="5"/>
      <c r="Q21" s="8"/>
    </row>
    <row r="22" spans="1:17">
      <c r="A22" s="4" t="s">
        <v>70</v>
      </c>
      <c r="B22" s="4" t="s">
        <v>44</v>
      </c>
      <c r="C22" s="4">
        <v>1</v>
      </c>
      <c r="D22" s="4">
        <v>0.5</v>
      </c>
      <c r="E22" s="4">
        <v>0.5</v>
      </c>
      <c r="F22" s="4">
        <v>0.5</v>
      </c>
      <c r="G22" s="4">
        <v>0</v>
      </c>
      <c r="H22" s="4">
        <v>0</v>
      </c>
      <c r="I22" s="4">
        <v>0</v>
      </c>
      <c r="J22" s="4">
        <v>0</v>
      </c>
      <c r="K22" s="4">
        <v>1</v>
      </c>
      <c r="L22" s="8" t="s">
        <v>45</v>
      </c>
      <c r="M22" s="4"/>
      <c r="N22" s="4" t="s">
        <v>72</v>
      </c>
      <c r="O22" s="4" t="s">
        <v>168</v>
      </c>
      <c r="P22" s="8"/>
      <c r="Q22" s="8"/>
    </row>
    <row r="23" spans="1:17">
      <c r="A23" s="5" t="s">
        <v>70</v>
      </c>
      <c r="B23" s="5" t="s">
        <v>49</v>
      </c>
      <c r="C23" s="5">
        <v>3.5</v>
      </c>
      <c r="D23" s="5">
        <v>0.5</v>
      </c>
      <c r="E23" s="5">
        <v>0.5</v>
      </c>
      <c r="F23" s="5">
        <v>0.5</v>
      </c>
      <c r="G23" s="5">
        <v>0.5</v>
      </c>
      <c r="H23" s="5">
        <v>1</v>
      </c>
      <c r="I23" s="5">
        <v>1</v>
      </c>
      <c r="J23" s="5">
        <v>0</v>
      </c>
      <c r="K23" s="5">
        <v>3.5</v>
      </c>
      <c r="L23" s="8" t="s">
        <v>45</v>
      </c>
      <c r="M23" s="5"/>
      <c r="N23" s="5" t="s">
        <v>72</v>
      </c>
      <c r="O23" s="5" t="s">
        <v>165</v>
      </c>
      <c r="P23" s="5"/>
      <c r="Q23" s="5"/>
    </row>
    <row r="24" spans="1:17">
      <c r="A24" s="4" t="s">
        <v>70</v>
      </c>
      <c r="B24" s="4" t="s">
        <v>52</v>
      </c>
      <c r="C24" s="4"/>
      <c r="D24" s="4"/>
      <c r="E24" s="4"/>
      <c r="F24" s="4"/>
      <c r="G24" s="4"/>
      <c r="H24" s="4"/>
      <c r="I24" s="4"/>
      <c r="J24" s="4"/>
      <c r="K24" s="4"/>
      <c r="L24" s="8"/>
      <c r="M24" s="4"/>
      <c r="N24" s="4"/>
      <c r="O24" s="4"/>
      <c r="P24" s="4"/>
      <c r="Q24" s="4"/>
    </row>
    <row r="25" spans="1:17">
      <c r="A25" s="5" t="s">
        <v>70</v>
      </c>
      <c r="B25" s="5" t="s">
        <v>55</v>
      </c>
      <c r="C25" s="5"/>
      <c r="D25" s="5"/>
      <c r="E25" s="5"/>
      <c r="F25" s="5"/>
      <c r="G25" s="5"/>
      <c r="H25" s="5"/>
      <c r="I25" s="5"/>
      <c r="J25" s="5"/>
      <c r="K25" s="5"/>
      <c r="L25" s="8"/>
      <c r="M25" s="5"/>
      <c r="N25" s="5"/>
      <c r="O25" s="5"/>
      <c r="P25" s="5"/>
      <c r="Q25" s="8"/>
    </row>
    <row r="26" spans="1:17">
      <c r="A26" s="4" t="s">
        <v>70</v>
      </c>
      <c r="B26" s="4" t="s">
        <v>56</v>
      </c>
      <c r="C26" s="4"/>
      <c r="D26" s="4"/>
      <c r="E26" s="4"/>
      <c r="F26" s="4"/>
      <c r="G26" s="4"/>
      <c r="H26" s="4"/>
      <c r="I26" s="4"/>
      <c r="J26" s="4"/>
      <c r="K26" s="4"/>
      <c r="L26" s="8"/>
      <c r="M26" s="4"/>
      <c r="N26" s="4"/>
      <c r="O26" s="4"/>
      <c r="P26" s="4"/>
      <c r="Q26" s="8"/>
    </row>
    <row r="27" spans="1:17">
      <c r="A27" s="5" t="s">
        <v>74</v>
      </c>
      <c r="B27" s="5" t="s">
        <v>44</v>
      </c>
      <c r="C27" s="5">
        <v>1.5</v>
      </c>
      <c r="D27" s="5">
        <v>0.5</v>
      </c>
      <c r="E27" s="5">
        <v>0.5</v>
      </c>
      <c r="F27" s="5">
        <v>0</v>
      </c>
      <c r="G27" s="5">
        <v>0.5</v>
      </c>
      <c r="H27" s="5">
        <v>0</v>
      </c>
      <c r="I27" s="5">
        <v>0.5</v>
      </c>
      <c r="J27" s="5">
        <v>0</v>
      </c>
      <c r="K27" s="5">
        <v>1.5</v>
      </c>
      <c r="L27" s="8" t="s">
        <v>45</v>
      </c>
      <c r="M27" s="5"/>
      <c r="N27" s="5" t="s">
        <v>76</v>
      </c>
      <c r="O27" s="5" t="s">
        <v>168</v>
      </c>
      <c r="P27" s="8"/>
      <c r="Q27" s="8"/>
    </row>
    <row r="28" spans="1:17">
      <c r="A28" s="4" t="s">
        <v>74</v>
      </c>
      <c r="B28" s="4" t="s">
        <v>49</v>
      </c>
      <c r="C28" s="4">
        <v>1.5</v>
      </c>
      <c r="D28" s="4">
        <v>0.5</v>
      </c>
      <c r="E28" s="4">
        <v>0.5</v>
      </c>
      <c r="F28" s="4">
        <v>0</v>
      </c>
      <c r="G28" s="4">
        <v>0.5</v>
      </c>
      <c r="H28" s="4">
        <v>0</v>
      </c>
      <c r="I28" s="4">
        <v>0.5</v>
      </c>
      <c r="J28" s="4">
        <v>0</v>
      </c>
      <c r="K28" s="4">
        <v>1.5</v>
      </c>
      <c r="L28" s="8" t="s">
        <v>45</v>
      </c>
      <c r="M28" s="4"/>
      <c r="N28" s="4" t="s">
        <v>76</v>
      </c>
      <c r="O28" s="4" t="s">
        <v>165</v>
      </c>
      <c r="P28" s="4"/>
      <c r="Q28" s="4"/>
    </row>
    <row r="29" spans="1:17">
      <c r="A29" s="5" t="s">
        <v>74</v>
      </c>
      <c r="B29" s="5" t="s">
        <v>52</v>
      </c>
      <c r="C29" s="5"/>
      <c r="D29" s="5"/>
      <c r="E29" s="5"/>
      <c r="F29" s="5"/>
      <c r="G29" s="5"/>
      <c r="H29" s="5"/>
      <c r="I29" s="5"/>
      <c r="J29" s="5"/>
      <c r="K29" s="5"/>
      <c r="L29" s="8"/>
      <c r="M29" s="5"/>
      <c r="N29" s="5"/>
      <c r="O29" s="5"/>
      <c r="P29" s="5"/>
      <c r="Q29" s="8"/>
    </row>
    <row r="30" spans="1:17">
      <c r="A30" s="4" t="s">
        <v>74</v>
      </c>
      <c r="B30" s="4" t="s">
        <v>55</v>
      </c>
      <c r="C30" s="4"/>
      <c r="D30" s="4"/>
      <c r="E30" s="4"/>
      <c r="F30" s="4"/>
      <c r="G30" s="4"/>
      <c r="H30" s="4"/>
      <c r="I30" s="4"/>
      <c r="J30" s="4"/>
      <c r="K30" s="4"/>
      <c r="L30" s="8"/>
      <c r="M30" s="4"/>
      <c r="N30" s="4"/>
      <c r="O30" s="4"/>
      <c r="P30" s="4"/>
      <c r="Q30" s="8"/>
    </row>
    <row r="31" spans="1:17">
      <c r="A31" s="5" t="s">
        <v>74</v>
      </c>
      <c r="B31" s="5" t="s">
        <v>56</v>
      </c>
      <c r="C31" s="5"/>
      <c r="D31" s="5"/>
      <c r="E31" s="5"/>
      <c r="F31" s="5"/>
      <c r="G31" s="5"/>
      <c r="H31" s="5"/>
      <c r="I31" s="5"/>
      <c r="J31" s="5"/>
      <c r="K31" s="5"/>
      <c r="L31" s="8"/>
      <c r="M31" s="5"/>
      <c r="N31" s="5"/>
      <c r="O31" s="5"/>
      <c r="P31" s="5"/>
      <c r="Q31" s="8"/>
    </row>
    <row r="32" spans="1:17">
      <c r="A32" s="4" t="s">
        <v>78</v>
      </c>
      <c r="B32" s="4" t="s">
        <v>44</v>
      </c>
      <c r="C32" s="4">
        <v>0.5</v>
      </c>
      <c r="D32" s="4">
        <v>0.5</v>
      </c>
      <c r="E32" s="4">
        <v>0.5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0.5</v>
      </c>
      <c r="L32" s="8" t="s">
        <v>45</v>
      </c>
      <c r="M32" s="4"/>
      <c r="N32" s="4" t="s">
        <v>80</v>
      </c>
      <c r="O32" s="4" t="s">
        <v>168</v>
      </c>
      <c r="P32" s="8"/>
      <c r="Q32" s="8"/>
    </row>
    <row r="33" spans="1:17">
      <c r="A33" s="5" t="s">
        <v>78</v>
      </c>
      <c r="B33" s="5" t="s">
        <v>49</v>
      </c>
      <c r="C33" s="5">
        <v>0.5</v>
      </c>
      <c r="D33" s="5">
        <v>0.5</v>
      </c>
      <c r="E33" s="5">
        <v>0.5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0.5</v>
      </c>
      <c r="L33" s="8" t="s">
        <v>45</v>
      </c>
      <c r="M33" s="5"/>
      <c r="N33" s="5" t="s">
        <v>80</v>
      </c>
      <c r="O33" s="5" t="s">
        <v>165</v>
      </c>
      <c r="P33" s="5"/>
      <c r="Q33" s="5"/>
    </row>
    <row r="34" spans="1:17">
      <c r="A34" s="4" t="s">
        <v>78</v>
      </c>
      <c r="B34" s="4" t="s">
        <v>52</v>
      </c>
      <c r="C34" s="4"/>
      <c r="D34" s="4"/>
      <c r="E34" s="4"/>
      <c r="F34" s="4"/>
      <c r="G34" s="4"/>
      <c r="H34" s="4"/>
      <c r="I34" s="4"/>
      <c r="J34" s="4"/>
      <c r="K34" s="4"/>
      <c r="L34" s="8"/>
      <c r="M34" s="4"/>
      <c r="N34" s="4"/>
      <c r="O34" s="4"/>
      <c r="P34" s="4"/>
      <c r="Q34" s="4"/>
    </row>
    <row r="35" spans="1:17">
      <c r="A35" s="5" t="s">
        <v>78</v>
      </c>
      <c r="B35" s="5" t="s">
        <v>55</v>
      </c>
      <c r="C35" s="5"/>
      <c r="D35" s="5"/>
      <c r="E35" s="5"/>
      <c r="F35" s="5"/>
      <c r="G35" s="5"/>
      <c r="H35" s="5"/>
      <c r="I35" s="5"/>
      <c r="J35" s="5"/>
      <c r="K35" s="5"/>
      <c r="L35" s="8"/>
      <c r="M35" s="5"/>
      <c r="N35" s="5"/>
      <c r="O35" s="5"/>
      <c r="P35" s="5"/>
      <c r="Q35" s="8"/>
    </row>
    <row r="36" spans="1:17">
      <c r="A36" s="4" t="s">
        <v>78</v>
      </c>
      <c r="B36" s="4" t="s">
        <v>56</v>
      </c>
      <c r="C36" s="4"/>
      <c r="D36" s="4"/>
      <c r="E36" s="4"/>
      <c r="F36" s="4"/>
      <c r="G36" s="4"/>
      <c r="H36" s="4"/>
      <c r="I36" s="4"/>
      <c r="J36" s="4"/>
      <c r="K36" s="4"/>
      <c r="L36" s="8"/>
      <c r="M36" s="4"/>
      <c r="N36" s="4"/>
      <c r="O36" s="4"/>
      <c r="P36" s="8"/>
      <c r="Q36" s="4"/>
    </row>
    <row r="37" spans="1:17">
      <c r="A37" s="5" t="s">
        <v>82</v>
      </c>
      <c r="B37" s="5" t="s">
        <v>44</v>
      </c>
      <c r="C37" s="5">
        <v>1.5</v>
      </c>
      <c r="D37" s="5">
        <v>0.5</v>
      </c>
      <c r="E37" s="5">
        <v>0.5</v>
      </c>
      <c r="F37" s="5">
        <v>0.5</v>
      </c>
      <c r="G37" s="5">
        <v>0</v>
      </c>
      <c r="H37" s="5">
        <v>0</v>
      </c>
      <c r="I37" s="5">
        <v>0.5</v>
      </c>
      <c r="J37" s="5">
        <v>0</v>
      </c>
      <c r="K37" s="5">
        <v>1.5</v>
      </c>
      <c r="L37" s="8" t="s">
        <v>45</v>
      </c>
      <c r="M37" s="5" t="s">
        <v>169</v>
      </c>
      <c r="N37" s="5" t="s">
        <v>84</v>
      </c>
      <c r="O37" s="5" t="s">
        <v>168</v>
      </c>
      <c r="P37" s="8" t="s">
        <v>65</v>
      </c>
      <c r="Q37" s="5"/>
    </row>
    <row r="38" spans="1:17">
      <c r="A38" s="4" t="s">
        <v>82</v>
      </c>
      <c r="B38" s="4" t="s">
        <v>49</v>
      </c>
      <c r="C38" s="4">
        <v>2</v>
      </c>
      <c r="D38" s="4">
        <v>0.5</v>
      </c>
      <c r="E38" s="4">
        <v>0.5</v>
      </c>
      <c r="F38" s="4">
        <v>0.5</v>
      </c>
      <c r="G38" s="4">
        <v>0.5</v>
      </c>
      <c r="H38" s="4">
        <v>0</v>
      </c>
      <c r="I38" s="4">
        <v>0.5</v>
      </c>
      <c r="J38" s="4">
        <v>0</v>
      </c>
      <c r="K38" s="4">
        <v>2</v>
      </c>
      <c r="L38" s="8" t="s">
        <v>45</v>
      </c>
      <c r="M38" s="4" t="s">
        <v>86</v>
      </c>
      <c r="N38" s="4" t="s">
        <v>84</v>
      </c>
      <c r="O38" s="4" t="s">
        <v>165</v>
      </c>
      <c r="P38" s="4"/>
      <c r="Q38" s="4"/>
    </row>
    <row r="39" spans="1:17">
      <c r="A39" s="5" t="s">
        <v>82</v>
      </c>
      <c r="B39" s="5" t="s">
        <v>52</v>
      </c>
      <c r="C39" s="5"/>
      <c r="D39" s="5"/>
      <c r="E39" s="5"/>
      <c r="F39" s="5"/>
      <c r="G39" s="5"/>
      <c r="H39" s="5"/>
      <c r="I39" s="5"/>
      <c r="J39" s="5"/>
      <c r="K39" s="5"/>
      <c r="L39" s="8"/>
      <c r="M39" s="5"/>
      <c r="N39" s="5"/>
      <c r="O39" s="5"/>
      <c r="P39" s="5"/>
      <c r="Q39" s="5"/>
    </row>
    <row r="40" spans="1:17">
      <c r="A40" s="4" t="s">
        <v>82</v>
      </c>
      <c r="B40" s="4" t="s">
        <v>55</v>
      </c>
      <c r="C40" s="4"/>
      <c r="D40" s="4"/>
      <c r="E40" s="4"/>
      <c r="F40" s="4"/>
      <c r="G40" s="4"/>
      <c r="H40" s="4"/>
      <c r="I40" s="4"/>
      <c r="J40" s="4"/>
      <c r="K40" s="4"/>
      <c r="L40" s="8"/>
      <c r="M40" s="4"/>
      <c r="N40" s="4"/>
      <c r="O40" s="4"/>
      <c r="P40" s="4"/>
      <c r="Q40" s="4"/>
    </row>
    <row r="41" spans="1:17">
      <c r="A41" s="5" t="s">
        <v>82</v>
      </c>
      <c r="B41" s="5" t="s">
        <v>56</v>
      </c>
      <c r="C41" s="5"/>
      <c r="D41" s="5"/>
      <c r="E41" s="5"/>
      <c r="F41" s="5"/>
      <c r="G41" s="5"/>
      <c r="H41" s="5"/>
      <c r="I41" s="5"/>
      <c r="J41" s="5"/>
      <c r="K41" s="5"/>
      <c r="L41" s="8"/>
      <c r="M41" s="5"/>
      <c r="N41" s="5"/>
      <c r="O41" s="5"/>
      <c r="P41" s="5"/>
      <c r="Q41" s="5"/>
    </row>
    <row r="42" spans="1:17">
      <c r="A42" s="4" t="s">
        <v>87</v>
      </c>
      <c r="B42" s="4" t="s">
        <v>44</v>
      </c>
      <c r="C42" s="4">
        <v>1.5</v>
      </c>
      <c r="D42" s="4">
        <v>0.5</v>
      </c>
      <c r="E42" s="4">
        <v>0.5</v>
      </c>
      <c r="F42" s="4">
        <v>0</v>
      </c>
      <c r="G42" s="4">
        <v>0.5</v>
      </c>
      <c r="H42" s="4">
        <v>0.5</v>
      </c>
      <c r="I42" s="4">
        <v>0</v>
      </c>
      <c r="J42" s="4">
        <v>0</v>
      </c>
      <c r="K42" s="4">
        <v>1.5</v>
      </c>
      <c r="L42" s="8" t="s">
        <v>45</v>
      </c>
      <c r="M42" s="4"/>
      <c r="N42" s="4" t="s">
        <v>88</v>
      </c>
      <c r="O42" s="4" t="s">
        <v>168</v>
      </c>
      <c r="P42" s="4"/>
      <c r="Q42" s="4"/>
    </row>
    <row r="43" spans="1:17">
      <c r="A43" s="5" t="s">
        <v>87</v>
      </c>
      <c r="B43" s="5" t="s">
        <v>49</v>
      </c>
      <c r="C43" s="5">
        <v>1.5</v>
      </c>
      <c r="D43" s="5">
        <v>0.5</v>
      </c>
      <c r="E43" s="5">
        <v>0.5</v>
      </c>
      <c r="F43" s="5">
        <v>0</v>
      </c>
      <c r="G43" s="5">
        <v>0.5</v>
      </c>
      <c r="H43" s="5">
        <v>0.5</v>
      </c>
      <c r="I43" s="5">
        <v>0</v>
      </c>
      <c r="J43" s="5">
        <v>0</v>
      </c>
      <c r="K43" s="5">
        <v>1.5</v>
      </c>
      <c r="L43" s="8" t="s">
        <v>45</v>
      </c>
      <c r="M43" s="5"/>
      <c r="N43" s="5" t="s">
        <v>88</v>
      </c>
      <c r="O43" s="5" t="s">
        <v>165</v>
      </c>
      <c r="P43" s="5"/>
      <c r="Q43" s="5"/>
    </row>
    <row r="44" spans="1:17">
      <c r="A44" s="4" t="s">
        <v>87</v>
      </c>
      <c r="B44" s="4" t="s">
        <v>52</v>
      </c>
      <c r="C44" s="4"/>
      <c r="D44" s="4"/>
      <c r="E44" s="4"/>
      <c r="F44" s="4"/>
      <c r="G44" s="4"/>
      <c r="H44" s="4"/>
      <c r="I44" s="4"/>
      <c r="J44" s="4"/>
      <c r="K44" s="4"/>
      <c r="L44" s="8"/>
      <c r="M44" s="4"/>
      <c r="N44" s="4"/>
      <c r="O44" s="4"/>
      <c r="P44" s="4"/>
      <c r="Q44" s="4"/>
    </row>
    <row r="45" spans="1:17">
      <c r="A45" s="5" t="s">
        <v>87</v>
      </c>
      <c r="B45" s="5" t="s">
        <v>55</v>
      </c>
      <c r="C45" s="5"/>
      <c r="D45" s="5"/>
      <c r="E45" s="5"/>
      <c r="F45" s="5"/>
      <c r="G45" s="5"/>
      <c r="H45" s="5"/>
      <c r="I45" s="5"/>
      <c r="J45" s="5"/>
      <c r="K45" s="5"/>
      <c r="L45" s="8"/>
      <c r="M45" s="5"/>
      <c r="N45" s="5"/>
      <c r="O45" s="5"/>
      <c r="P45" s="5"/>
      <c r="Q45" s="5"/>
    </row>
    <row r="46" spans="1:17">
      <c r="A46" s="4" t="s">
        <v>87</v>
      </c>
      <c r="B46" s="4" t="s">
        <v>56</v>
      </c>
      <c r="C46" s="4"/>
      <c r="D46" s="4"/>
      <c r="E46" s="4"/>
      <c r="F46" s="4"/>
      <c r="G46" s="4"/>
      <c r="H46" s="4"/>
      <c r="I46" s="4"/>
      <c r="J46" s="4"/>
      <c r="K46" s="4"/>
      <c r="L46" s="8"/>
      <c r="M46" s="4"/>
      <c r="N46" s="4"/>
      <c r="O46" s="4"/>
      <c r="P46" s="4"/>
      <c r="Q46" s="4"/>
    </row>
    <row r="47" spans="1:17">
      <c r="A47" s="5" t="s">
        <v>90</v>
      </c>
      <c r="B47" s="5" t="s">
        <v>44</v>
      </c>
      <c r="C47" s="5">
        <v>2.5</v>
      </c>
      <c r="D47" s="5">
        <v>0.5</v>
      </c>
      <c r="E47" s="5">
        <v>0.5</v>
      </c>
      <c r="F47" s="5">
        <v>0.5</v>
      </c>
      <c r="G47" s="5">
        <v>0.5</v>
      </c>
      <c r="H47" s="5">
        <v>0.5</v>
      </c>
      <c r="I47" s="5">
        <v>0.5</v>
      </c>
      <c r="J47" s="5">
        <v>0</v>
      </c>
      <c r="K47" s="5">
        <v>2.5</v>
      </c>
      <c r="L47" s="8" t="s">
        <v>45</v>
      </c>
      <c r="M47" s="5"/>
      <c r="N47" s="5" t="s">
        <v>92</v>
      </c>
      <c r="O47" s="5" t="s">
        <v>168</v>
      </c>
      <c r="P47" s="8"/>
      <c r="Q47" s="8"/>
    </row>
    <row r="48" spans="1:17">
      <c r="A48" s="4" t="s">
        <v>90</v>
      </c>
      <c r="B48" s="4" t="s">
        <v>49</v>
      </c>
      <c r="C48" s="4">
        <v>3.5</v>
      </c>
      <c r="D48" s="4">
        <v>0.5</v>
      </c>
      <c r="E48" s="4">
        <v>1</v>
      </c>
      <c r="F48" s="4">
        <v>0.5</v>
      </c>
      <c r="G48" s="4">
        <v>0.5</v>
      </c>
      <c r="H48" s="4">
        <v>0.5</v>
      </c>
      <c r="I48" s="4">
        <v>1</v>
      </c>
      <c r="J48" s="4">
        <v>0</v>
      </c>
      <c r="K48" s="4">
        <v>3.5</v>
      </c>
      <c r="L48" s="8" t="s">
        <v>45</v>
      </c>
      <c r="M48" s="4"/>
      <c r="N48" s="4" t="s">
        <v>92</v>
      </c>
      <c r="O48" s="4" t="s">
        <v>165</v>
      </c>
      <c r="P48" s="4"/>
      <c r="Q48" s="4"/>
    </row>
    <row r="49" spans="1:17">
      <c r="A49" s="5" t="s">
        <v>90</v>
      </c>
      <c r="B49" s="5" t="s">
        <v>52</v>
      </c>
      <c r="C49" s="5"/>
      <c r="D49" s="5"/>
      <c r="E49" s="5"/>
      <c r="F49" s="5"/>
      <c r="G49" s="5"/>
      <c r="H49" s="5"/>
      <c r="I49" s="5"/>
      <c r="J49" s="5"/>
      <c r="K49" s="5"/>
      <c r="L49" s="8"/>
      <c r="M49" s="5"/>
      <c r="N49" s="5"/>
      <c r="O49" s="5"/>
      <c r="P49" s="5"/>
      <c r="Q49" s="5"/>
    </row>
    <row r="50" spans="1:17">
      <c r="A50" s="4" t="s">
        <v>90</v>
      </c>
      <c r="B50" s="4" t="s">
        <v>55</v>
      </c>
      <c r="C50" s="4"/>
      <c r="D50" s="4"/>
      <c r="E50" s="4"/>
      <c r="F50" s="4"/>
      <c r="G50" s="4"/>
      <c r="H50" s="4"/>
      <c r="I50" s="4"/>
      <c r="J50" s="4"/>
      <c r="K50" s="4"/>
      <c r="L50" s="8"/>
      <c r="M50" s="4"/>
      <c r="N50" s="4"/>
      <c r="O50" s="4"/>
      <c r="P50" s="8"/>
      <c r="Q50" s="4"/>
    </row>
    <row r="51" spans="1:17">
      <c r="A51" s="5" t="s">
        <v>90</v>
      </c>
      <c r="B51" s="5" t="s">
        <v>56</v>
      </c>
      <c r="C51" s="5"/>
      <c r="D51" s="5"/>
      <c r="E51" s="5"/>
      <c r="F51" s="5"/>
      <c r="G51" s="5"/>
      <c r="H51" s="5"/>
      <c r="I51" s="5"/>
      <c r="J51" s="5"/>
      <c r="K51" s="5"/>
      <c r="L51" s="8"/>
      <c r="M51" s="5"/>
      <c r="N51" s="5"/>
      <c r="O51" s="5"/>
      <c r="P51" s="8"/>
      <c r="Q51" s="5"/>
    </row>
    <row r="52" spans="1:17">
      <c r="A52" s="4" t="s">
        <v>93</v>
      </c>
      <c r="B52" s="4" t="s">
        <v>44</v>
      </c>
      <c r="C52" s="4">
        <v>4.5</v>
      </c>
      <c r="D52" s="4">
        <v>1</v>
      </c>
      <c r="E52" s="4">
        <v>1</v>
      </c>
      <c r="F52" s="4">
        <v>0.5</v>
      </c>
      <c r="G52" s="4">
        <v>1</v>
      </c>
      <c r="H52" s="4">
        <v>1</v>
      </c>
      <c r="I52" s="4">
        <v>1</v>
      </c>
      <c r="J52" s="4">
        <v>0</v>
      </c>
      <c r="K52" s="4">
        <v>4.5</v>
      </c>
      <c r="L52" s="8" t="s">
        <v>45</v>
      </c>
      <c r="M52" s="4"/>
      <c r="N52" s="4" t="s">
        <v>95</v>
      </c>
      <c r="O52" s="4" t="s">
        <v>170</v>
      </c>
      <c r="P52" s="8"/>
      <c r="Q52" s="8"/>
    </row>
    <row r="53" spans="1:17">
      <c r="A53" s="5" t="s">
        <v>93</v>
      </c>
      <c r="B53" s="5" t="s">
        <v>49</v>
      </c>
      <c r="C53" s="5"/>
      <c r="D53" s="5"/>
      <c r="E53" s="5"/>
      <c r="F53" s="5"/>
      <c r="G53" s="5"/>
      <c r="H53" s="5"/>
      <c r="I53" s="5"/>
      <c r="J53" s="5"/>
      <c r="K53" s="5"/>
      <c r="L53" s="8"/>
      <c r="M53" s="5"/>
      <c r="N53" s="5"/>
      <c r="O53" s="5"/>
      <c r="P53" s="5"/>
      <c r="Q53" s="5"/>
    </row>
    <row r="54" spans="1:17">
      <c r="A54" s="4" t="s">
        <v>93</v>
      </c>
      <c r="B54" s="4" t="s">
        <v>52</v>
      </c>
      <c r="C54" s="4"/>
      <c r="D54" s="4"/>
      <c r="E54" s="4"/>
      <c r="F54" s="4"/>
      <c r="G54" s="4"/>
      <c r="H54" s="4"/>
      <c r="I54" s="4"/>
      <c r="J54" s="4"/>
      <c r="K54" s="4"/>
      <c r="L54" s="8"/>
      <c r="M54" s="4"/>
      <c r="N54" s="4"/>
      <c r="O54" s="4"/>
      <c r="P54" s="4"/>
      <c r="Q54" s="4"/>
    </row>
    <row r="55" spans="1:17">
      <c r="A55" s="5" t="s">
        <v>93</v>
      </c>
      <c r="B55" s="5" t="s">
        <v>55</v>
      </c>
      <c r="C55" s="5"/>
      <c r="D55" s="5"/>
      <c r="E55" s="5"/>
      <c r="F55" s="5"/>
      <c r="G55" s="5"/>
      <c r="H55" s="5"/>
      <c r="I55" s="5"/>
      <c r="J55" s="5"/>
      <c r="K55" s="5"/>
      <c r="L55" s="8"/>
      <c r="M55" s="5"/>
      <c r="N55" s="5"/>
      <c r="O55" s="5"/>
      <c r="P55" s="5"/>
      <c r="Q55" s="5"/>
    </row>
    <row r="56" spans="1:17">
      <c r="A56" s="4" t="s">
        <v>93</v>
      </c>
      <c r="B56" s="4" t="s">
        <v>56</v>
      </c>
      <c r="C56" s="4"/>
      <c r="D56" s="4"/>
      <c r="E56" s="4"/>
      <c r="F56" s="4"/>
      <c r="G56" s="4"/>
      <c r="H56" s="4"/>
      <c r="I56" s="4"/>
      <c r="J56" s="4"/>
      <c r="K56" s="4"/>
      <c r="L56" s="8"/>
      <c r="M56" s="4"/>
      <c r="N56" s="4"/>
      <c r="O56" s="4"/>
      <c r="P56" s="4"/>
      <c r="Q56" s="8"/>
    </row>
    <row r="57" spans="1:17">
      <c r="A57" s="5" t="s">
        <v>96</v>
      </c>
      <c r="B57" s="5" t="s">
        <v>44</v>
      </c>
      <c r="C57" s="5">
        <v>2.5</v>
      </c>
      <c r="D57" s="5">
        <v>0.5</v>
      </c>
      <c r="E57" s="5">
        <v>0.5</v>
      </c>
      <c r="F57" s="5">
        <v>0.5</v>
      </c>
      <c r="G57" s="5">
        <v>0.5</v>
      </c>
      <c r="H57" s="5">
        <v>0.5</v>
      </c>
      <c r="I57" s="5">
        <v>0.5</v>
      </c>
      <c r="J57" s="5">
        <v>0</v>
      </c>
      <c r="K57" s="5">
        <v>2.5</v>
      </c>
      <c r="L57" s="8" t="s">
        <v>45</v>
      </c>
      <c r="M57" s="5"/>
      <c r="N57" s="5" t="s">
        <v>98</v>
      </c>
      <c r="O57" s="5" t="s">
        <v>168</v>
      </c>
      <c r="P57" s="8"/>
      <c r="Q57" s="8"/>
    </row>
    <row r="58" spans="1:17">
      <c r="A58" s="4" t="s">
        <v>96</v>
      </c>
      <c r="B58" s="4" t="s">
        <v>49</v>
      </c>
      <c r="C58" s="4">
        <v>2.5</v>
      </c>
      <c r="D58" s="4">
        <v>0.5</v>
      </c>
      <c r="E58" s="4">
        <v>0.5</v>
      </c>
      <c r="F58" s="4">
        <v>0.5</v>
      </c>
      <c r="G58" s="4">
        <v>0.5</v>
      </c>
      <c r="H58" s="4">
        <v>0.5</v>
      </c>
      <c r="I58" s="4">
        <v>0.5</v>
      </c>
      <c r="J58" s="4">
        <v>0</v>
      </c>
      <c r="K58" s="4">
        <v>2.5</v>
      </c>
      <c r="L58" s="8" t="s">
        <v>45</v>
      </c>
      <c r="M58" s="4"/>
      <c r="N58" s="4" t="s">
        <v>98</v>
      </c>
      <c r="O58" s="4" t="s">
        <v>165</v>
      </c>
      <c r="P58" s="4"/>
      <c r="Q58" s="8"/>
    </row>
    <row r="59" spans="1:17">
      <c r="A59" s="5" t="s">
        <v>96</v>
      </c>
      <c r="B59" s="5" t="s">
        <v>52</v>
      </c>
      <c r="C59" s="5"/>
      <c r="D59" s="5"/>
      <c r="E59" s="5"/>
      <c r="F59" s="5"/>
      <c r="G59" s="5"/>
      <c r="H59" s="5"/>
      <c r="I59" s="5"/>
      <c r="J59" s="5"/>
      <c r="K59" s="5"/>
      <c r="L59" s="8"/>
      <c r="M59" s="5"/>
      <c r="N59" s="5"/>
      <c r="O59" s="5"/>
      <c r="P59" s="5"/>
      <c r="Q59" s="5"/>
    </row>
    <row r="60" spans="1:17">
      <c r="A60" s="4" t="s">
        <v>96</v>
      </c>
      <c r="B60" s="4" t="s">
        <v>55</v>
      </c>
      <c r="C60" s="4"/>
      <c r="D60" s="4"/>
      <c r="E60" s="4"/>
      <c r="F60" s="4"/>
      <c r="G60" s="4"/>
      <c r="H60" s="4"/>
      <c r="I60" s="4"/>
      <c r="J60" s="4"/>
      <c r="K60" s="4"/>
      <c r="L60" s="8"/>
      <c r="M60" s="4"/>
      <c r="N60" s="4"/>
      <c r="O60" s="4"/>
      <c r="P60" s="4"/>
      <c r="Q60" s="8"/>
    </row>
    <row r="61" spans="1:17">
      <c r="A61" s="5" t="s">
        <v>96</v>
      </c>
      <c r="B61" s="5" t="s">
        <v>56</v>
      </c>
      <c r="C61" s="5"/>
      <c r="D61" s="5"/>
      <c r="E61" s="5"/>
      <c r="F61" s="5"/>
      <c r="G61" s="5"/>
      <c r="H61" s="5"/>
      <c r="I61" s="5"/>
      <c r="J61" s="5"/>
      <c r="K61" s="5"/>
      <c r="L61" s="8"/>
      <c r="M61" s="5"/>
      <c r="N61" s="5"/>
      <c r="O61" s="5"/>
      <c r="P61" s="5"/>
      <c r="Q61" s="5"/>
    </row>
    <row r="62" spans="1:17">
      <c r="A62" s="4" t="s">
        <v>100</v>
      </c>
      <c r="B62" s="4" t="s">
        <v>44</v>
      </c>
      <c r="C62" s="4">
        <v>2.5</v>
      </c>
      <c r="D62" s="4">
        <v>0.5</v>
      </c>
      <c r="E62" s="4">
        <v>0.5</v>
      </c>
      <c r="F62" s="4">
        <v>0.5</v>
      </c>
      <c r="G62" s="4">
        <v>0.5</v>
      </c>
      <c r="H62" s="4">
        <v>0.5</v>
      </c>
      <c r="I62" s="4">
        <v>0.5</v>
      </c>
      <c r="J62" s="4">
        <v>0</v>
      </c>
      <c r="K62" s="4">
        <v>2.5</v>
      </c>
      <c r="L62" s="8" t="s">
        <v>45</v>
      </c>
      <c r="M62" s="4"/>
      <c r="N62" s="4" t="s">
        <v>102</v>
      </c>
      <c r="O62" s="4" t="s">
        <v>170</v>
      </c>
      <c r="P62" s="8"/>
      <c r="Q62" s="8"/>
    </row>
    <row r="63" spans="1:17">
      <c r="A63" s="5" t="s">
        <v>100</v>
      </c>
      <c r="B63" s="5" t="s">
        <v>49</v>
      </c>
      <c r="C63" s="5"/>
      <c r="D63" s="5"/>
      <c r="E63" s="5"/>
      <c r="F63" s="5"/>
      <c r="G63" s="5"/>
      <c r="H63" s="5"/>
      <c r="I63" s="5"/>
      <c r="J63" s="5"/>
      <c r="K63" s="5"/>
      <c r="L63" s="8"/>
      <c r="M63" s="5"/>
      <c r="N63" s="5"/>
      <c r="O63" s="5"/>
      <c r="P63" s="5"/>
      <c r="Q63" s="5"/>
    </row>
    <row r="64" spans="1:17">
      <c r="A64" s="4" t="s">
        <v>100</v>
      </c>
      <c r="B64" s="4" t="s">
        <v>52</v>
      </c>
      <c r="C64" s="4"/>
      <c r="D64" s="4"/>
      <c r="E64" s="4"/>
      <c r="F64" s="4"/>
      <c r="G64" s="4"/>
      <c r="H64" s="4"/>
      <c r="I64" s="4"/>
      <c r="J64" s="4"/>
      <c r="K64" s="4"/>
      <c r="L64" s="8"/>
      <c r="M64" s="4"/>
      <c r="N64" s="4"/>
      <c r="O64" s="4"/>
      <c r="P64" s="4"/>
      <c r="Q64" s="8"/>
    </row>
    <row r="65" spans="1:17">
      <c r="A65" s="5" t="s">
        <v>100</v>
      </c>
      <c r="B65" s="5" t="s">
        <v>55</v>
      </c>
      <c r="C65" s="5"/>
      <c r="D65" s="5"/>
      <c r="E65" s="5"/>
      <c r="F65" s="5"/>
      <c r="G65" s="5"/>
      <c r="H65" s="5"/>
      <c r="I65" s="5"/>
      <c r="J65" s="5"/>
      <c r="K65" s="5"/>
      <c r="L65" s="8"/>
      <c r="M65" s="5"/>
      <c r="N65" s="5"/>
      <c r="O65" s="5"/>
      <c r="P65" s="5"/>
      <c r="Q65" s="5"/>
    </row>
    <row r="66" spans="1:17">
      <c r="A66" s="4" t="s">
        <v>100</v>
      </c>
      <c r="B66" s="4" t="s">
        <v>56</v>
      </c>
      <c r="C66" s="4"/>
      <c r="D66" s="4"/>
      <c r="E66" s="4"/>
      <c r="F66" s="4"/>
      <c r="G66" s="4"/>
      <c r="H66" s="4"/>
      <c r="I66" s="4"/>
      <c r="J66" s="4"/>
      <c r="K66" s="4"/>
      <c r="L66" s="8"/>
      <c r="M66" s="4"/>
      <c r="N66" s="4"/>
      <c r="O66" s="4"/>
      <c r="P66" s="4"/>
      <c r="Q66" s="8"/>
    </row>
    <row r="67" spans="1:17">
      <c r="A67" s="5" t="s">
        <v>103</v>
      </c>
      <c r="B67" s="5" t="s">
        <v>44</v>
      </c>
      <c r="C67" s="5">
        <v>2.5</v>
      </c>
      <c r="D67" s="5">
        <v>0.5</v>
      </c>
      <c r="E67" s="5">
        <v>0.5</v>
      </c>
      <c r="F67" s="5">
        <v>0.5</v>
      </c>
      <c r="G67" s="5">
        <v>0.5</v>
      </c>
      <c r="H67" s="5">
        <v>0.5</v>
      </c>
      <c r="I67" s="5">
        <v>0.5</v>
      </c>
      <c r="J67" s="5">
        <v>0</v>
      </c>
      <c r="K67" s="5">
        <v>2.5</v>
      </c>
      <c r="L67" s="8" t="s">
        <v>45</v>
      </c>
      <c r="M67" s="5"/>
      <c r="N67" s="5" t="s">
        <v>104</v>
      </c>
      <c r="O67" s="5" t="s">
        <v>168</v>
      </c>
      <c r="P67" s="8"/>
      <c r="Q67" s="8"/>
    </row>
    <row r="68" spans="1:17">
      <c r="A68" s="4" t="s">
        <v>103</v>
      </c>
      <c r="B68" s="4" t="s">
        <v>49</v>
      </c>
      <c r="C68" s="4">
        <v>3.5</v>
      </c>
      <c r="D68" s="4">
        <v>0.5</v>
      </c>
      <c r="E68" s="4">
        <v>1</v>
      </c>
      <c r="F68" s="4">
        <v>0.5</v>
      </c>
      <c r="G68" s="4">
        <v>0.5</v>
      </c>
      <c r="H68" s="4">
        <v>0.5</v>
      </c>
      <c r="I68" s="4">
        <v>1</v>
      </c>
      <c r="J68" s="4">
        <v>0</v>
      </c>
      <c r="K68" s="4">
        <v>3.5</v>
      </c>
      <c r="L68" s="8" t="s">
        <v>45</v>
      </c>
      <c r="M68" s="4"/>
      <c r="N68" s="4" t="s">
        <v>104</v>
      </c>
      <c r="O68" s="4" t="s">
        <v>165</v>
      </c>
      <c r="P68" s="4"/>
      <c r="Q68" s="4"/>
    </row>
    <row r="69" spans="1:17">
      <c r="A69" s="5" t="s">
        <v>103</v>
      </c>
      <c r="B69" s="5" t="s">
        <v>52</v>
      </c>
      <c r="C69" s="5"/>
      <c r="D69" s="5"/>
      <c r="E69" s="5"/>
      <c r="F69" s="5"/>
      <c r="G69" s="5"/>
      <c r="H69" s="5"/>
      <c r="I69" s="5"/>
      <c r="J69" s="5"/>
      <c r="K69" s="5"/>
      <c r="L69" s="8"/>
      <c r="M69" s="5"/>
      <c r="N69" s="5"/>
      <c r="O69" s="5"/>
      <c r="P69" s="5"/>
      <c r="Q69" s="8"/>
    </row>
    <row r="70" spans="1:17">
      <c r="A70" s="4" t="s">
        <v>103</v>
      </c>
      <c r="B70" s="4" t="s">
        <v>55</v>
      </c>
      <c r="C70" s="4"/>
      <c r="D70" s="4"/>
      <c r="E70" s="4"/>
      <c r="F70" s="4"/>
      <c r="G70" s="4"/>
      <c r="H70" s="4"/>
      <c r="I70" s="4"/>
      <c r="J70" s="4"/>
      <c r="K70" s="4"/>
      <c r="L70" s="8"/>
      <c r="M70" s="4"/>
      <c r="N70" s="4"/>
      <c r="O70" s="4"/>
      <c r="P70" s="4"/>
      <c r="Q70" s="4"/>
    </row>
    <row r="71" spans="1:17">
      <c r="A71" s="5" t="s">
        <v>103</v>
      </c>
      <c r="B71" s="5" t="s">
        <v>56</v>
      </c>
      <c r="C71" s="5"/>
      <c r="D71" s="5"/>
      <c r="E71" s="5"/>
      <c r="F71" s="5"/>
      <c r="G71" s="5"/>
      <c r="H71" s="5"/>
      <c r="I71" s="5"/>
      <c r="J71" s="5"/>
      <c r="K71" s="5"/>
      <c r="L71" s="8"/>
      <c r="M71" s="5"/>
      <c r="N71" s="5"/>
      <c r="O71" s="5"/>
      <c r="P71" s="5"/>
      <c r="Q71" s="5"/>
    </row>
    <row r="72" spans="1:17">
      <c r="A72" s="4" t="s">
        <v>106</v>
      </c>
      <c r="B72" s="4" t="s">
        <v>44</v>
      </c>
      <c r="C72" s="4">
        <v>2</v>
      </c>
      <c r="D72" s="4">
        <v>0.5</v>
      </c>
      <c r="E72" s="4">
        <v>0.5</v>
      </c>
      <c r="F72" s="4">
        <v>0.5</v>
      </c>
      <c r="G72" s="4">
        <v>0.5</v>
      </c>
      <c r="H72" s="4">
        <v>0.5</v>
      </c>
      <c r="I72" s="4">
        <v>0</v>
      </c>
      <c r="J72" s="4">
        <v>0</v>
      </c>
      <c r="K72" s="4">
        <v>2</v>
      </c>
      <c r="L72" s="8" t="s">
        <v>45</v>
      </c>
      <c r="M72" s="4"/>
      <c r="N72" s="4" t="s">
        <v>108</v>
      </c>
      <c r="O72" s="4" t="s">
        <v>168</v>
      </c>
      <c r="P72" s="8"/>
      <c r="Q72" s="8"/>
    </row>
    <row r="73" spans="1:17">
      <c r="A73" s="5" t="s">
        <v>106</v>
      </c>
      <c r="B73" s="5" t="s">
        <v>49</v>
      </c>
      <c r="C73" s="5">
        <v>3</v>
      </c>
      <c r="D73" s="5">
        <v>0.5</v>
      </c>
      <c r="E73" s="5">
        <v>1</v>
      </c>
      <c r="F73" s="5">
        <v>0.5</v>
      </c>
      <c r="G73" s="5">
        <v>0.5</v>
      </c>
      <c r="H73" s="5">
        <v>0.5</v>
      </c>
      <c r="I73" s="5">
        <v>0.5</v>
      </c>
      <c r="J73" s="5">
        <v>0</v>
      </c>
      <c r="K73" s="5">
        <v>3</v>
      </c>
      <c r="L73" s="8" t="s">
        <v>45</v>
      </c>
      <c r="M73" s="5"/>
      <c r="N73" s="5" t="s">
        <v>108</v>
      </c>
      <c r="O73" s="5" t="s">
        <v>165</v>
      </c>
      <c r="P73" s="5"/>
      <c r="Q73" s="5"/>
    </row>
    <row r="74" spans="1:17">
      <c r="A74" s="4" t="s">
        <v>106</v>
      </c>
      <c r="B74" s="4" t="s">
        <v>52</v>
      </c>
      <c r="C74" s="4"/>
      <c r="D74" s="4"/>
      <c r="E74" s="4"/>
      <c r="F74" s="4"/>
      <c r="G74" s="4"/>
      <c r="H74" s="4"/>
      <c r="I74" s="4"/>
      <c r="J74" s="4"/>
      <c r="K74" s="4"/>
      <c r="L74" s="8"/>
      <c r="M74" s="4"/>
      <c r="N74" s="4"/>
      <c r="O74" s="4"/>
      <c r="P74" s="4"/>
      <c r="Q74" s="8"/>
    </row>
    <row r="75" spans="1:17">
      <c r="A75" s="5" t="s">
        <v>106</v>
      </c>
      <c r="B75" s="5" t="s">
        <v>55</v>
      </c>
      <c r="C75" s="5"/>
      <c r="D75" s="5"/>
      <c r="E75" s="5"/>
      <c r="F75" s="5"/>
      <c r="G75" s="5"/>
      <c r="H75" s="5"/>
      <c r="I75" s="5"/>
      <c r="J75" s="5"/>
      <c r="K75" s="5"/>
      <c r="L75" s="8"/>
      <c r="M75" s="5"/>
      <c r="N75" s="5"/>
      <c r="O75" s="5"/>
      <c r="P75" s="5"/>
      <c r="Q75" s="8"/>
    </row>
    <row r="76" spans="1:17">
      <c r="A76" s="4" t="s">
        <v>106</v>
      </c>
      <c r="B76" s="4" t="s">
        <v>56</v>
      </c>
      <c r="C76" s="4"/>
      <c r="D76" s="4"/>
      <c r="E76" s="4"/>
      <c r="F76" s="4"/>
      <c r="G76" s="4"/>
      <c r="H76" s="4"/>
      <c r="I76" s="4"/>
      <c r="J76" s="4"/>
      <c r="K76" s="4"/>
      <c r="L76" s="8"/>
      <c r="M76" s="4"/>
      <c r="N76" s="4"/>
      <c r="O76" s="4"/>
      <c r="P76" s="4"/>
      <c r="Q76" s="8"/>
    </row>
    <row r="77" spans="1:17">
      <c r="A77" s="5" t="s">
        <v>110</v>
      </c>
      <c r="B77" s="5" t="s">
        <v>44</v>
      </c>
      <c r="C77" s="5">
        <v>3</v>
      </c>
      <c r="D77" s="5">
        <v>0.5</v>
      </c>
      <c r="E77" s="5">
        <v>1</v>
      </c>
      <c r="F77" s="5">
        <v>0.5</v>
      </c>
      <c r="G77" s="5">
        <v>0.5</v>
      </c>
      <c r="H77" s="5">
        <v>0.5</v>
      </c>
      <c r="I77" s="5">
        <v>0.5</v>
      </c>
      <c r="J77" s="5">
        <v>0</v>
      </c>
      <c r="K77" s="5">
        <v>3</v>
      </c>
      <c r="L77" s="8" t="s">
        <v>45</v>
      </c>
      <c r="M77" s="5"/>
      <c r="N77" s="5" t="s">
        <v>112</v>
      </c>
      <c r="O77" s="5" t="s">
        <v>168</v>
      </c>
      <c r="P77" s="8"/>
      <c r="Q77" s="8"/>
    </row>
    <row r="78" spans="1:17">
      <c r="A78" s="4" t="s">
        <v>110</v>
      </c>
      <c r="B78" s="4" t="s">
        <v>49</v>
      </c>
      <c r="C78" s="4">
        <v>3</v>
      </c>
      <c r="D78" s="4">
        <v>0.5</v>
      </c>
      <c r="E78" s="4">
        <v>1</v>
      </c>
      <c r="F78" s="4">
        <v>0.5</v>
      </c>
      <c r="G78" s="4">
        <v>0.5</v>
      </c>
      <c r="H78" s="4">
        <v>0.5</v>
      </c>
      <c r="I78" s="4">
        <v>0.5</v>
      </c>
      <c r="J78" s="4">
        <v>0</v>
      </c>
      <c r="K78" s="4">
        <v>3</v>
      </c>
      <c r="L78" s="8" t="s">
        <v>45</v>
      </c>
      <c r="M78" s="4"/>
      <c r="N78" s="4" t="s">
        <v>112</v>
      </c>
      <c r="O78" s="4" t="s">
        <v>165</v>
      </c>
      <c r="P78" s="4"/>
      <c r="Q78" s="4"/>
    </row>
    <row r="79" spans="1:17">
      <c r="A79" s="5" t="s">
        <v>110</v>
      </c>
      <c r="B79" s="5" t="s">
        <v>52</v>
      </c>
      <c r="C79" s="5"/>
      <c r="D79" s="5"/>
      <c r="E79" s="5"/>
      <c r="F79" s="5"/>
      <c r="G79" s="5"/>
      <c r="H79" s="5"/>
      <c r="I79" s="5"/>
      <c r="J79" s="5"/>
      <c r="K79" s="5"/>
      <c r="L79" s="8"/>
      <c r="M79" s="5"/>
      <c r="N79" s="5"/>
      <c r="O79" s="5"/>
      <c r="P79" s="5"/>
      <c r="Q79" s="8"/>
    </row>
    <row r="80" spans="1:17">
      <c r="A80" s="4" t="s">
        <v>110</v>
      </c>
      <c r="B80" s="4" t="s">
        <v>55</v>
      </c>
      <c r="C80" s="4"/>
      <c r="D80" s="4"/>
      <c r="E80" s="4"/>
      <c r="F80" s="4"/>
      <c r="G80" s="4"/>
      <c r="H80" s="4"/>
      <c r="I80" s="4"/>
      <c r="J80" s="4"/>
      <c r="K80" s="4"/>
      <c r="L80" s="8"/>
      <c r="M80" s="4"/>
      <c r="N80" s="4"/>
      <c r="O80" s="4"/>
      <c r="P80" s="4"/>
      <c r="Q80" s="4"/>
    </row>
    <row r="81" spans="1:17">
      <c r="A81" s="5" t="s">
        <v>110</v>
      </c>
      <c r="B81" s="5" t="s">
        <v>56</v>
      </c>
      <c r="C81" s="5"/>
      <c r="D81" s="5"/>
      <c r="E81" s="5"/>
      <c r="F81" s="5"/>
      <c r="G81" s="5"/>
      <c r="H81" s="5"/>
      <c r="I81" s="5"/>
      <c r="J81" s="5"/>
      <c r="K81" s="5"/>
      <c r="L81" s="8"/>
      <c r="M81" s="5"/>
      <c r="N81" s="5"/>
      <c r="O81" s="5"/>
      <c r="P81" s="5"/>
      <c r="Q81" s="8"/>
    </row>
    <row r="82" spans="1:17">
      <c r="A82" s="4" t="s">
        <v>114</v>
      </c>
      <c r="B82" s="4" t="s">
        <v>44</v>
      </c>
      <c r="C82" s="4">
        <v>1</v>
      </c>
      <c r="D82" s="4">
        <v>0.5</v>
      </c>
      <c r="E82" s="4">
        <v>0.5</v>
      </c>
      <c r="F82" s="4">
        <v>0</v>
      </c>
      <c r="G82" s="4">
        <v>0.5</v>
      </c>
      <c r="H82" s="4">
        <v>0</v>
      </c>
      <c r="I82" s="4">
        <v>0</v>
      </c>
      <c r="J82" s="4">
        <v>0</v>
      </c>
      <c r="K82" s="4">
        <v>1</v>
      </c>
      <c r="L82" s="8" t="s">
        <v>45</v>
      </c>
      <c r="M82" s="4"/>
      <c r="N82" s="4" t="s">
        <v>115</v>
      </c>
      <c r="O82" s="4" t="s">
        <v>168</v>
      </c>
      <c r="P82" s="8"/>
      <c r="Q82" s="8"/>
    </row>
    <row r="83" spans="1:17">
      <c r="A83" s="5" t="s">
        <v>114</v>
      </c>
      <c r="B83" s="5" t="s">
        <v>49</v>
      </c>
      <c r="C83" s="5">
        <v>1</v>
      </c>
      <c r="D83" s="5">
        <v>0.5</v>
      </c>
      <c r="E83" s="5">
        <v>0.5</v>
      </c>
      <c r="F83" s="5">
        <v>0</v>
      </c>
      <c r="G83" s="5">
        <v>0.5</v>
      </c>
      <c r="H83" s="5">
        <v>0</v>
      </c>
      <c r="I83" s="5">
        <v>0</v>
      </c>
      <c r="J83" s="5">
        <v>0</v>
      </c>
      <c r="K83" s="5">
        <v>1</v>
      </c>
      <c r="L83" s="8" t="s">
        <v>45</v>
      </c>
      <c r="M83" s="5"/>
      <c r="N83" s="5" t="s">
        <v>115</v>
      </c>
      <c r="O83" s="5" t="s">
        <v>165</v>
      </c>
      <c r="P83" s="5"/>
      <c r="Q83" s="5"/>
    </row>
    <row r="84" spans="1:17">
      <c r="A84" s="4" t="s">
        <v>114</v>
      </c>
      <c r="B84" s="4" t="s">
        <v>52</v>
      </c>
      <c r="C84" s="4"/>
      <c r="D84" s="4"/>
      <c r="E84" s="4"/>
      <c r="F84" s="4"/>
      <c r="G84" s="4"/>
      <c r="H84" s="4"/>
      <c r="I84" s="4"/>
      <c r="J84" s="4"/>
      <c r="K84" s="4"/>
      <c r="L84" s="8"/>
      <c r="M84" s="4"/>
      <c r="N84" s="4"/>
      <c r="O84" s="4"/>
      <c r="P84" s="4"/>
      <c r="Q84" s="8"/>
    </row>
    <row r="85" spans="1:17">
      <c r="A85" s="5" t="s">
        <v>114</v>
      </c>
      <c r="B85" s="5" t="s">
        <v>55</v>
      </c>
      <c r="C85" s="5"/>
      <c r="D85" s="5"/>
      <c r="E85" s="5"/>
      <c r="F85" s="5"/>
      <c r="G85" s="5"/>
      <c r="H85" s="5"/>
      <c r="I85" s="5"/>
      <c r="J85" s="5"/>
      <c r="K85" s="5"/>
      <c r="L85" s="8"/>
      <c r="M85" s="5"/>
      <c r="N85" s="5"/>
      <c r="O85" s="5"/>
      <c r="P85" s="5"/>
      <c r="Q85" s="5"/>
    </row>
    <row r="86" spans="1:17">
      <c r="A86" s="4" t="s">
        <v>114</v>
      </c>
      <c r="B86" s="4" t="s">
        <v>56</v>
      </c>
      <c r="C86" s="4"/>
      <c r="D86" s="4"/>
      <c r="E86" s="4"/>
      <c r="F86" s="4"/>
      <c r="G86" s="4"/>
      <c r="H86" s="4"/>
      <c r="I86" s="4"/>
      <c r="J86" s="4"/>
      <c r="K86" s="4"/>
      <c r="L86" s="8"/>
      <c r="M86" s="4"/>
      <c r="N86" s="4"/>
      <c r="O86" s="4"/>
      <c r="P86" s="4"/>
      <c r="Q86" s="8"/>
    </row>
    <row r="87" spans="1:17">
      <c r="A87" s="5" t="s">
        <v>116</v>
      </c>
      <c r="B87" s="5" t="s">
        <v>44</v>
      </c>
      <c r="C87" s="5">
        <v>1</v>
      </c>
      <c r="D87" s="5">
        <v>0.5</v>
      </c>
      <c r="E87" s="5">
        <v>0.5</v>
      </c>
      <c r="F87" s="5">
        <v>0.5</v>
      </c>
      <c r="G87" s="5">
        <v>0</v>
      </c>
      <c r="H87" s="5">
        <v>0</v>
      </c>
      <c r="I87" s="5">
        <v>0</v>
      </c>
      <c r="J87" s="5">
        <v>0</v>
      </c>
      <c r="K87" s="5">
        <v>1</v>
      </c>
      <c r="L87" s="8" t="s">
        <v>45</v>
      </c>
      <c r="M87" s="5"/>
      <c r="N87" s="5" t="s">
        <v>117</v>
      </c>
      <c r="O87" s="5" t="s">
        <v>170</v>
      </c>
      <c r="P87" s="8"/>
      <c r="Q87" s="8"/>
    </row>
    <row r="88" spans="1:17">
      <c r="A88" s="4" t="s">
        <v>116</v>
      </c>
      <c r="B88" s="4" t="s">
        <v>49</v>
      </c>
      <c r="C88" s="4"/>
      <c r="D88" s="4"/>
      <c r="E88" s="4"/>
      <c r="F88" s="4"/>
      <c r="G88" s="4"/>
      <c r="H88" s="4"/>
      <c r="I88" s="4"/>
      <c r="J88" s="4"/>
      <c r="K88" s="4"/>
      <c r="L88" s="8"/>
      <c r="M88" s="4"/>
      <c r="N88" s="4"/>
      <c r="O88" s="4"/>
      <c r="P88" s="4"/>
      <c r="Q88" s="8"/>
    </row>
    <row r="89" spans="1:17">
      <c r="A89" s="5" t="s">
        <v>116</v>
      </c>
      <c r="B89" s="5" t="s">
        <v>52</v>
      </c>
      <c r="C89" s="5"/>
      <c r="D89" s="5"/>
      <c r="E89" s="5"/>
      <c r="F89" s="5"/>
      <c r="G89" s="5"/>
      <c r="H89" s="5"/>
      <c r="I89" s="5"/>
      <c r="J89" s="5"/>
      <c r="K89" s="5"/>
      <c r="L89" s="8"/>
      <c r="M89" s="5"/>
      <c r="N89" s="5"/>
      <c r="O89" s="5"/>
      <c r="P89" s="5"/>
      <c r="Q89" s="8"/>
    </row>
    <row r="90" spans="1:17">
      <c r="A90" s="4" t="s">
        <v>116</v>
      </c>
      <c r="B90" s="4" t="s">
        <v>55</v>
      </c>
      <c r="C90" s="4"/>
      <c r="D90" s="4"/>
      <c r="E90" s="4"/>
      <c r="F90" s="4"/>
      <c r="G90" s="4"/>
      <c r="H90" s="4"/>
      <c r="I90" s="4"/>
      <c r="J90" s="4"/>
      <c r="K90" s="4"/>
      <c r="L90" s="8"/>
      <c r="M90" s="4"/>
      <c r="N90" s="4"/>
      <c r="O90" s="4"/>
      <c r="P90" s="4"/>
      <c r="Q90" s="8"/>
    </row>
    <row r="91" spans="1:17">
      <c r="A91" s="5" t="s">
        <v>116</v>
      </c>
      <c r="B91" s="5" t="s">
        <v>56</v>
      </c>
      <c r="C91" s="5"/>
      <c r="D91" s="5"/>
      <c r="E91" s="5"/>
      <c r="F91" s="5"/>
      <c r="G91" s="5"/>
      <c r="H91" s="5"/>
      <c r="I91" s="5"/>
      <c r="J91" s="5"/>
      <c r="K91" s="5"/>
      <c r="L91" s="8"/>
      <c r="M91" s="5"/>
      <c r="N91" s="5"/>
      <c r="O91" s="5"/>
      <c r="P91" s="5"/>
      <c r="Q91" s="8"/>
    </row>
    <row r="92" spans="1:17">
      <c r="A92" s="4" t="s">
        <v>118</v>
      </c>
      <c r="B92" s="4" t="s">
        <v>44</v>
      </c>
      <c r="C92" s="4">
        <v>2.5</v>
      </c>
      <c r="D92" s="4">
        <v>0.5</v>
      </c>
      <c r="E92" s="4">
        <v>0.5</v>
      </c>
      <c r="F92" s="4">
        <v>0.5</v>
      </c>
      <c r="G92" s="4">
        <v>0.5</v>
      </c>
      <c r="H92" s="4">
        <v>0.5</v>
      </c>
      <c r="I92" s="4">
        <v>0.5</v>
      </c>
      <c r="J92" s="4">
        <v>0</v>
      </c>
      <c r="K92" s="4">
        <v>2.5</v>
      </c>
      <c r="L92" s="8" t="s">
        <v>45</v>
      </c>
      <c r="M92" s="4"/>
      <c r="N92" s="4" t="s">
        <v>121</v>
      </c>
      <c r="O92" s="4" t="s">
        <v>170</v>
      </c>
      <c r="P92" s="8"/>
      <c r="Q92" s="4"/>
    </row>
    <row r="93" spans="1:17">
      <c r="A93" s="5" t="s">
        <v>118</v>
      </c>
      <c r="B93" s="5" t="s">
        <v>49</v>
      </c>
      <c r="C93" s="5"/>
      <c r="D93" s="5"/>
      <c r="E93" s="5"/>
      <c r="F93" s="5"/>
      <c r="G93" s="5"/>
      <c r="H93" s="5"/>
      <c r="I93" s="5"/>
      <c r="J93" s="5"/>
      <c r="K93" s="5"/>
      <c r="L93" s="8"/>
      <c r="M93" s="5"/>
      <c r="N93" s="5"/>
      <c r="O93" s="5"/>
      <c r="P93" s="5"/>
      <c r="Q93" s="5"/>
    </row>
    <row r="94" spans="1:17">
      <c r="A94" s="4" t="s">
        <v>118</v>
      </c>
      <c r="B94" s="4" t="s">
        <v>52</v>
      </c>
      <c r="C94" s="4"/>
      <c r="D94" s="4"/>
      <c r="E94" s="4"/>
      <c r="F94" s="4"/>
      <c r="G94" s="4"/>
      <c r="H94" s="4"/>
      <c r="I94" s="4"/>
      <c r="J94" s="4"/>
      <c r="K94" s="4"/>
      <c r="L94" s="8"/>
      <c r="M94" s="4"/>
      <c r="N94" s="4"/>
      <c r="O94" s="4"/>
      <c r="P94" s="4"/>
      <c r="Q94" s="4"/>
    </row>
    <row r="95" spans="1:17">
      <c r="A95" s="5" t="s">
        <v>118</v>
      </c>
      <c r="B95" s="5" t="s">
        <v>55</v>
      </c>
      <c r="C95" s="5"/>
      <c r="D95" s="5"/>
      <c r="E95" s="5"/>
      <c r="F95" s="5"/>
      <c r="G95" s="5"/>
      <c r="H95" s="5"/>
      <c r="I95" s="5"/>
      <c r="J95" s="5"/>
      <c r="K95" s="5"/>
      <c r="L95" s="8"/>
      <c r="M95" s="5"/>
      <c r="N95" s="5"/>
      <c r="O95" s="5"/>
      <c r="P95" s="5"/>
      <c r="Q95" s="5"/>
    </row>
    <row r="96" spans="1:17">
      <c r="A96" s="4" t="s">
        <v>118</v>
      </c>
      <c r="B96" s="4" t="s">
        <v>56</v>
      </c>
      <c r="C96" s="4"/>
      <c r="D96" s="4"/>
      <c r="E96" s="4"/>
      <c r="F96" s="4"/>
      <c r="G96" s="4"/>
      <c r="H96" s="4"/>
      <c r="I96" s="4"/>
      <c r="J96" s="4"/>
      <c r="K96" s="4"/>
      <c r="L96" s="8"/>
      <c r="M96" s="4"/>
      <c r="N96" s="4"/>
      <c r="O96" s="4"/>
      <c r="P96" s="4"/>
      <c r="Q96" s="4"/>
    </row>
    <row r="97" spans="1:17">
      <c r="A97" s="5" t="s">
        <v>122</v>
      </c>
      <c r="B97" s="5" t="s">
        <v>44</v>
      </c>
      <c r="C97" s="5">
        <v>3.5</v>
      </c>
      <c r="D97" s="5">
        <v>0.5</v>
      </c>
      <c r="E97" s="5">
        <v>0.5</v>
      </c>
      <c r="F97" s="5">
        <v>0</v>
      </c>
      <c r="G97" s="5">
        <v>0.5</v>
      </c>
      <c r="H97" s="5">
        <v>0.5</v>
      </c>
      <c r="I97" s="5">
        <v>1</v>
      </c>
      <c r="J97" s="5">
        <v>1</v>
      </c>
      <c r="K97" s="5">
        <v>3.5</v>
      </c>
      <c r="L97" s="8" t="s">
        <v>45</v>
      </c>
      <c r="M97" s="5"/>
      <c r="N97" s="5" t="s">
        <v>124</v>
      </c>
      <c r="O97" s="5" t="s">
        <v>170</v>
      </c>
      <c r="P97" s="8"/>
      <c r="Q97" s="5"/>
    </row>
    <row r="98" spans="1:17">
      <c r="A98" s="4" t="s">
        <v>122</v>
      </c>
      <c r="B98" s="4" t="s">
        <v>49</v>
      </c>
      <c r="C98" s="4"/>
      <c r="D98" s="4"/>
      <c r="E98" s="4"/>
      <c r="F98" s="4"/>
      <c r="G98" s="4"/>
      <c r="H98" s="4"/>
      <c r="I98" s="4"/>
      <c r="J98" s="4"/>
      <c r="K98" s="4"/>
      <c r="L98" s="8"/>
      <c r="M98" s="4"/>
      <c r="N98" s="4"/>
      <c r="O98" s="4"/>
      <c r="P98" s="4"/>
      <c r="Q98" s="4"/>
    </row>
    <row r="99" spans="1:17">
      <c r="A99" s="5" t="s">
        <v>122</v>
      </c>
      <c r="B99" s="5" t="s">
        <v>52</v>
      </c>
      <c r="C99" s="5"/>
      <c r="D99" s="5"/>
      <c r="E99" s="5"/>
      <c r="F99" s="5"/>
      <c r="G99" s="5"/>
      <c r="H99" s="5"/>
      <c r="I99" s="5"/>
      <c r="J99" s="5"/>
      <c r="K99" s="5"/>
      <c r="L99" s="8"/>
      <c r="M99" s="5"/>
      <c r="N99" s="5"/>
      <c r="O99" s="5"/>
      <c r="P99" s="5"/>
      <c r="Q99" s="5"/>
    </row>
    <row r="100" spans="1:17">
      <c r="A100" s="4" t="s">
        <v>122</v>
      </c>
      <c r="B100" s="4" t="s">
        <v>55</v>
      </c>
      <c r="C100" s="4"/>
      <c r="D100" s="4"/>
      <c r="E100" s="4"/>
      <c r="F100" s="4"/>
      <c r="G100" s="4"/>
      <c r="H100" s="4"/>
      <c r="I100" s="4"/>
      <c r="J100" s="4"/>
      <c r="K100" s="4"/>
      <c r="L100" s="8"/>
      <c r="M100" s="4"/>
      <c r="N100" s="4"/>
      <c r="O100" s="4"/>
      <c r="P100" s="4"/>
      <c r="Q100" s="4"/>
    </row>
    <row r="101" spans="1:17">
      <c r="A101" s="5" t="s">
        <v>122</v>
      </c>
      <c r="B101" s="5" t="s">
        <v>56</v>
      </c>
      <c r="C101" s="5"/>
      <c r="D101" s="5"/>
      <c r="E101" s="5"/>
      <c r="F101" s="5"/>
      <c r="G101" s="5"/>
      <c r="H101" s="5"/>
      <c r="I101" s="5"/>
      <c r="J101" s="5"/>
      <c r="K101" s="5"/>
      <c r="L101" s="8"/>
      <c r="M101" s="5"/>
      <c r="N101" s="5"/>
      <c r="O101" s="5"/>
      <c r="P101" s="5"/>
      <c r="Q101" s="5"/>
    </row>
    <row r="102" spans="1:17">
      <c r="A102" s="4" t="s">
        <v>125</v>
      </c>
      <c r="B102" s="4" t="s">
        <v>44</v>
      </c>
      <c r="C102" s="4">
        <v>3.5</v>
      </c>
      <c r="D102" s="4">
        <v>0.5</v>
      </c>
      <c r="E102" s="4">
        <v>1</v>
      </c>
      <c r="F102" s="4">
        <v>0.5</v>
      </c>
      <c r="G102" s="4">
        <v>0.5</v>
      </c>
      <c r="H102" s="4">
        <v>0.5</v>
      </c>
      <c r="I102" s="4">
        <v>1</v>
      </c>
      <c r="J102" s="4">
        <v>0</v>
      </c>
      <c r="K102" s="4">
        <v>3.5</v>
      </c>
      <c r="L102" s="8" t="s">
        <v>45</v>
      </c>
      <c r="M102" s="4"/>
      <c r="N102" s="4" t="s">
        <v>127</v>
      </c>
      <c r="O102" s="4" t="s">
        <v>170</v>
      </c>
      <c r="P102" s="4"/>
      <c r="Q102" s="8"/>
    </row>
    <row r="103" spans="1:17">
      <c r="A103" s="5" t="s">
        <v>125</v>
      </c>
      <c r="B103" s="5" t="s">
        <v>49</v>
      </c>
      <c r="C103" s="5"/>
      <c r="D103" s="5"/>
      <c r="E103" s="5"/>
      <c r="F103" s="5"/>
      <c r="G103" s="5"/>
      <c r="H103" s="5"/>
      <c r="I103" s="5"/>
      <c r="J103" s="5"/>
      <c r="K103" s="5"/>
      <c r="L103" s="8"/>
      <c r="M103" s="5"/>
      <c r="N103" s="5"/>
      <c r="O103" s="5"/>
      <c r="P103" s="5"/>
      <c r="Q103" s="5"/>
    </row>
    <row r="104" spans="1:17">
      <c r="A104" s="4" t="s">
        <v>125</v>
      </c>
      <c r="B104" s="4" t="s">
        <v>52</v>
      </c>
      <c r="C104" s="4"/>
      <c r="D104" s="4"/>
      <c r="E104" s="4"/>
      <c r="F104" s="4"/>
      <c r="G104" s="4"/>
      <c r="H104" s="4"/>
      <c r="I104" s="4"/>
      <c r="J104" s="4"/>
      <c r="K104" s="4"/>
      <c r="L104" s="8"/>
      <c r="M104" s="4"/>
      <c r="N104" s="4"/>
      <c r="O104" s="4"/>
      <c r="P104" s="4"/>
      <c r="Q104" s="4"/>
    </row>
    <row r="105" spans="1:17">
      <c r="A105" s="5" t="s">
        <v>125</v>
      </c>
      <c r="B105" s="5" t="s">
        <v>55</v>
      </c>
      <c r="C105" s="5"/>
      <c r="D105" s="5"/>
      <c r="E105" s="5"/>
      <c r="F105" s="5"/>
      <c r="G105" s="5"/>
      <c r="H105" s="5"/>
      <c r="I105" s="5"/>
      <c r="J105" s="5"/>
      <c r="K105" s="5"/>
      <c r="L105" s="8"/>
      <c r="M105" s="5"/>
      <c r="N105" s="5"/>
      <c r="O105" s="5"/>
      <c r="P105" s="5"/>
      <c r="Q105" s="5"/>
    </row>
    <row r="106" spans="1:17">
      <c r="A106" s="4" t="s">
        <v>125</v>
      </c>
      <c r="B106" s="4" t="s">
        <v>56</v>
      </c>
      <c r="C106" s="4"/>
      <c r="D106" s="4"/>
      <c r="E106" s="4"/>
      <c r="F106" s="4"/>
      <c r="G106" s="4"/>
      <c r="H106" s="4"/>
      <c r="I106" s="4"/>
      <c r="J106" s="4"/>
      <c r="K106" s="4"/>
      <c r="L106" s="8"/>
      <c r="M106" s="4"/>
      <c r="N106" s="4"/>
      <c r="O106" s="4"/>
      <c r="P106" s="4"/>
      <c r="Q106" s="4"/>
    </row>
    <row r="107" spans="1:17">
      <c r="A107" s="5" t="s">
        <v>128</v>
      </c>
      <c r="B107" s="5" t="s">
        <v>44</v>
      </c>
      <c r="C107" s="5">
        <v>3</v>
      </c>
      <c r="D107" s="5">
        <v>0.5</v>
      </c>
      <c r="E107" s="5">
        <v>0.5</v>
      </c>
      <c r="F107" s="5">
        <v>0.5</v>
      </c>
      <c r="G107" s="5">
        <v>0.5</v>
      </c>
      <c r="H107" s="5">
        <v>0.5</v>
      </c>
      <c r="I107" s="5">
        <v>1</v>
      </c>
      <c r="J107" s="5">
        <v>0</v>
      </c>
      <c r="K107" s="5">
        <v>3</v>
      </c>
      <c r="L107" s="8" t="s">
        <v>45</v>
      </c>
      <c r="M107" s="5"/>
      <c r="N107" s="5" t="s">
        <v>130</v>
      </c>
      <c r="O107" s="5" t="s">
        <v>170</v>
      </c>
      <c r="P107" s="5"/>
      <c r="Q107" s="8"/>
    </row>
    <row r="108" spans="1:17">
      <c r="A108" s="4" t="s">
        <v>128</v>
      </c>
      <c r="B108" s="4" t="s">
        <v>49</v>
      </c>
      <c r="C108" s="4"/>
      <c r="D108" s="4"/>
      <c r="E108" s="4"/>
      <c r="F108" s="4"/>
      <c r="G108" s="4"/>
      <c r="H108" s="4"/>
      <c r="I108" s="4"/>
      <c r="J108" s="4"/>
      <c r="K108" s="4"/>
      <c r="L108" s="8"/>
      <c r="M108" s="4"/>
      <c r="N108" s="4"/>
      <c r="O108" s="4"/>
      <c r="P108" s="4"/>
      <c r="Q108" s="4"/>
    </row>
    <row r="109" spans="1:17">
      <c r="A109" s="5" t="s">
        <v>128</v>
      </c>
      <c r="B109" s="5" t="s">
        <v>52</v>
      </c>
      <c r="C109" s="5"/>
      <c r="D109" s="5"/>
      <c r="E109" s="5"/>
      <c r="F109" s="5"/>
      <c r="G109" s="5"/>
      <c r="H109" s="5"/>
      <c r="I109" s="5"/>
      <c r="J109" s="5"/>
      <c r="K109" s="5"/>
      <c r="L109" s="8"/>
      <c r="M109" s="5"/>
      <c r="N109" s="5"/>
      <c r="O109" s="5"/>
      <c r="P109" s="5"/>
      <c r="Q109" s="5"/>
    </row>
    <row r="110" spans="1:17">
      <c r="A110" s="4" t="s">
        <v>128</v>
      </c>
      <c r="B110" s="4" t="s">
        <v>55</v>
      </c>
      <c r="C110" s="4"/>
      <c r="D110" s="4"/>
      <c r="E110" s="4"/>
      <c r="F110" s="4"/>
      <c r="G110" s="4"/>
      <c r="H110" s="4"/>
      <c r="I110" s="4"/>
      <c r="J110" s="4"/>
      <c r="K110" s="4"/>
      <c r="L110" s="8"/>
      <c r="M110" s="4"/>
      <c r="N110" s="4"/>
      <c r="O110" s="4"/>
      <c r="P110" s="4"/>
      <c r="Q110" s="4"/>
    </row>
    <row r="111" spans="1:17">
      <c r="A111" s="5" t="s">
        <v>128</v>
      </c>
      <c r="B111" s="5" t="s">
        <v>56</v>
      </c>
      <c r="C111" s="5"/>
      <c r="D111" s="5"/>
      <c r="E111" s="5"/>
      <c r="F111" s="5"/>
      <c r="G111" s="5"/>
      <c r="H111" s="5"/>
      <c r="I111" s="5"/>
      <c r="J111" s="5"/>
      <c r="K111" s="5"/>
      <c r="L111" s="8"/>
      <c r="M111" s="5"/>
      <c r="N111" s="5"/>
      <c r="O111" s="5"/>
      <c r="P111" s="5"/>
      <c r="Q111" s="5"/>
    </row>
    <row r="112" spans="1:17">
      <c r="A112" s="4" t="s">
        <v>131</v>
      </c>
      <c r="B112" s="4" t="s">
        <v>44</v>
      </c>
      <c r="C112" s="4">
        <v>1</v>
      </c>
      <c r="D112" s="4">
        <v>0.5</v>
      </c>
      <c r="E112" s="4">
        <v>0.5</v>
      </c>
      <c r="F112" s="4">
        <v>0.5</v>
      </c>
      <c r="G112" s="4">
        <v>0</v>
      </c>
      <c r="H112" s="4">
        <v>0</v>
      </c>
      <c r="I112" s="4">
        <v>0</v>
      </c>
      <c r="J112" s="4">
        <v>0</v>
      </c>
      <c r="K112" s="4">
        <v>1</v>
      </c>
      <c r="L112" s="8" t="s">
        <v>45</v>
      </c>
      <c r="M112" s="4"/>
      <c r="N112" s="4" t="s">
        <v>133</v>
      </c>
      <c r="O112" s="4" t="s">
        <v>170</v>
      </c>
      <c r="P112" s="8"/>
      <c r="Q112" s="8"/>
    </row>
    <row r="113" spans="1:17">
      <c r="A113" s="5" t="s">
        <v>131</v>
      </c>
      <c r="B113" s="5" t="s">
        <v>49</v>
      </c>
      <c r="C113" s="5"/>
      <c r="D113" s="5"/>
      <c r="E113" s="5"/>
      <c r="F113" s="5"/>
      <c r="G113" s="5"/>
      <c r="H113" s="5"/>
      <c r="I113" s="5"/>
      <c r="J113" s="5"/>
      <c r="K113" s="5"/>
      <c r="L113" s="8"/>
      <c r="M113" s="5"/>
      <c r="N113" s="5"/>
      <c r="O113" s="5"/>
      <c r="P113" s="5"/>
      <c r="Q113" s="8"/>
    </row>
    <row r="114" spans="1:17">
      <c r="A114" s="4" t="s">
        <v>131</v>
      </c>
      <c r="B114" s="4" t="s">
        <v>52</v>
      </c>
      <c r="C114" s="4"/>
      <c r="D114" s="4"/>
      <c r="E114" s="4"/>
      <c r="F114" s="4"/>
      <c r="G114" s="4"/>
      <c r="H114" s="4"/>
      <c r="I114" s="4"/>
      <c r="J114" s="4"/>
      <c r="K114" s="4"/>
      <c r="L114" s="8"/>
      <c r="M114" s="4"/>
      <c r="N114" s="4"/>
      <c r="O114" s="4"/>
      <c r="P114" s="4"/>
      <c r="Q114" s="8"/>
    </row>
    <row r="115" spans="1:17">
      <c r="A115" s="5" t="s">
        <v>131</v>
      </c>
      <c r="B115" s="5" t="s">
        <v>55</v>
      </c>
      <c r="C115" s="5"/>
      <c r="D115" s="5"/>
      <c r="E115" s="5"/>
      <c r="F115" s="5"/>
      <c r="G115" s="5"/>
      <c r="H115" s="5"/>
      <c r="I115" s="5"/>
      <c r="J115" s="5"/>
      <c r="K115" s="5"/>
      <c r="L115" s="8"/>
      <c r="M115" s="5"/>
      <c r="N115" s="5"/>
      <c r="O115" s="5"/>
      <c r="P115" s="5"/>
      <c r="Q115" s="8"/>
    </row>
    <row r="116" spans="1:17">
      <c r="A116" s="4" t="s">
        <v>131</v>
      </c>
      <c r="B116" s="4" t="s">
        <v>56</v>
      </c>
      <c r="C116" s="4"/>
      <c r="D116" s="4"/>
      <c r="E116" s="4"/>
      <c r="F116" s="4"/>
      <c r="G116" s="4"/>
      <c r="H116" s="4"/>
      <c r="I116" s="4"/>
      <c r="J116" s="4"/>
      <c r="K116" s="4"/>
      <c r="L116" s="8"/>
      <c r="M116" s="4"/>
      <c r="N116" s="4"/>
      <c r="O116" s="4"/>
      <c r="P116" s="4"/>
      <c r="Q116" s="4"/>
    </row>
    <row r="117" spans="1:17">
      <c r="A117" s="5" t="s">
        <v>134</v>
      </c>
      <c r="B117" s="5" t="s">
        <v>44</v>
      </c>
      <c r="C117" s="5">
        <v>0.5</v>
      </c>
      <c r="D117" s="5">
        <v>0.5</v>
      </c>
      <c r="E117" s="5">
        <v>0.5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0.5</v>
      </c>
      <c r="L117" s="8" t="s">
        <v>45</v>
      </c>
      <c r="M117" s="5"/>
      <c r="N117" s="5" t="s">
        <v>136</v>
      </c>
      <c r="O117" s="5" t="s">
        <v>170</v>
      </c>
      <c r="P117" s="8"/>
      <c r="Q117" s="8"/>
    </row>
    <row r="118" spans="1:17">
      <c r="A118" s="4" t="s">
        <v>134</v>
      </c>
      <c r="B118" s="4" t="s">
        <v>49</v>
      </c>
      <c r="C118" s="4"/>
      <c r="D118" s="4"/>
      <c r="E118" s="4"/>
      <c r="F118" s="4"/>
      <c r="G118" s="4"/>
      <c r="H118" s="4"/>
      <c r="I118" s="4"/>
      <c r="J118" s="4"/>
      <c r="K118" s="4"/>
      <c r="L118" s="8"/>
      <c r="M118" s="4"/>
      <c r="N118" s="4"/>
      <c r="O118" s="4"/>
      <c r="P118" s="4"/>
      <c r="Q118" s="8"/>
    </row>
    <row r="119" spans="1:17">
      <c r="A119" s="5" t="s">
        <v>134</v>
      </c>
      <c r="B119" s="5" t="s">
        <v>52</v>
      </c>
      <c r="C119" s="5"/>
      <c r="D119" s="5"/>
      <c r="E119" s="5"/>
      <c r="F119" s="5"/>
      <c r="G119" s="5"/>
      <c r="H119" s="5"/>
      <c r="I119" s="5"/>
      <c r="J119" s="5"/>
      <c r="K119" s="5"/>
      <c r="L119" s="8"/>
      <c r="M119" s="5"/>
      <c r="N119" s="5"/>
      <c r="O119" s="5"/>
      <c r="P119" s="5"/>
      <c r="Q119" s="8"/>
    </row>
    <row r="120" spans="1:17">
      <c r="A120" s="4" t="s">
        <v>134</v>
      </c>
      <c r="B120" s="4" t="s">
        <v>55</v>
      </c>
      <c r="C120" s="4"/>
      <c r="D120" s="4"/>
      <c r="E120" s="4"/>
      <c r="F120" s="4"/>
      <c r="G120" s="4"/>
      <c r="H120" s="4"/>
      <c r="I120" s="4"/>
      <c r="J120" s="4"/>
      <c r="K120" s="4"/>
      <c r="L120" s="8"/>
      <c r="M120" s="4"/>
      <c r="N120" s="4"/>
      <c r="O120" s="4"/>
      <c r="P120" s="4"/>
      <c r="Q120" s="8"/>
    </row>
    <row r="121" spans="1:17">
      <c r="A121" s="5" t="s">
        <v>134</v>
      </c>
      <c r="B121" s="5" t="s">
        <v>56</v>
      </c>
      <c r="C121" s="5"/>
      <c r="D121" s="5"/>
      <c r="E121" s="5"/>
      <c r="F121" s="5"/>
      <c r="G121" s="5"/>
      <c r="H121" s="5"/>
      <c r="I121" s="5"/>
      <c r="J121" s="5"/>
      <c r="K121" s="5"/>
      <c r="L121" s="8"/>
      <c r="M121" s="5"/>
      <c r="N121" s="5"/>
      <c r="O121" s="5"/>
      <c r="P121" s="5"/>
      <c r="Q121" s="5"/>
    </row>
    <row r="122" spans="1:17">
      <c r="A122" s="4" t="s">
        <v>137</v>
      </c>
      <c r="B122" s="4" t="s">
        <v>44</v>
      </c>
      <c r="C122" s="4">
        <v>1.5</v>
      </c>
      <c r="D122" s="4">
        <v>0.5</v>
      </c>
      <c r="E122" s="4">
        <v>0.5</v>
      </c>
      <c r="F122" s="4">
        <v>0.5</v>
      </c>
      <c r="G122" s="4">
        <v>0.5</v>
      </c>
      <c r="H122" s="4">
        <v>0</v>
      </c>
      <c r="I122" s="4">
        <v>0</v>
      </c>
      <c r="J122" s="4">
        <v>0</v>
      </c>
      <c r="K122" s="4">
        <v>1.5</v>
      </c>
      <c r="L122" s="8" t="s">
        <v>45</v>
      </c>
      <c r="M122" s="4"/>
      <c r="N122" s="4" t="s">
        <v>139</v>
      </c>
      <c r="O122" s="4" t="s">
        <v>170</v>
      </c>
      <c r="P122" s="8"/>
      <c r="Q122" s="8"/>
    </row>
    <row r="123" spans="1:17">
      <c r="A123" s="5" t="s">
        <v>137</v>
      </c>
      <c r="B123" s="5" t="s">
        <v>49</v>
      </c>
      <c r="C123" s="5"/>
      <c r="D123" s="5"/>
      <c r="E123" s="5"/>
      <c r="F123" s="5"/>
      <c r="G123" s="5"/>
      <c r="H123" s="5"/>
      <c r="I123" s="5"/>
      <c r="J123" s="5"/>
      <c r="K123" s="5"/>
      <c r="L123" s="8"/>
      <c r="M123" s="5"/>
      <c r="N123" s="5"/>
      <c r="O123" s="5"/>
      <c r="P123" s="5"/>
      <c r="Q123" s="8"/>
    </row>
    <row r="124" spans="1:17">
      <c r="A124" s="4" t="s">
        <v>137</v>
      </c>
      <c r="B124" s="4" t="s">
        <v>52</v>
      </c>
      <c r="C124" s="4"/>
      <c r="D124" s="4"/>
      <c r="E124" s="4"/>
      <c r="F124" s="4"/>
      <c r="G124" s="4"/>
      <c r="H124" s="4"/>
      <c r="I124" s="4"/>
      <c r="J124" s="4"/>
      <c r="K124" s="4"/>
      <c r="L124" s="8"/>
      <c r="M124" s="4"/>
      <c r="N124" s="4"/>
      <c r="O124" s="4"/>
      <c r="P124" s="4"/>
      <c r="Q124" s="8"/>
    </row>
    <row r="125" spans="1:17">
      <c r="A125" s="5" t="s">
        <v>137</v>
      </c>
      <c r="B125" s="5" t="s">
        <v>55</v>
      </c>
      <c r="C125" s="5"/>
      <c r="D125" s="5"/>
      <c r="E125" s="5"/>
      <c r="F125" s="5"/>
      <c r="G125" s="5"/>
      <c r="H125" s="5"/>
      <c r="I125" s="5"/>
      <c r="J125" s="5"/>
      <c r="K125" s="5"/>
      <c r="L125" s="8"/>
      <c r="M125" s="5"/>
      <c r="N125" s="5"/>
      <c r="O125" s="5"/>
      <c r="P125" s="5"/>
      <c r="Q125" s="8"/>
    </row>
    <row r="126" spans="1:17">
      <c r="A126" s="4" t="s">
        <v>137</v>
      </c>
      <c r="B126" s="4" t="s">
        <v>56</v>
      </c>
      <c r="C126" s="4"/>
      <c r="D126" s="4"/>
      <c r="E126" s="4"/>
      <c r="F126" s="4"/>
      <c r="G126" s="4"/>
      <c r="H126" s="4"/>
      <c r="I126" s="4"/>
      <c r="J126" s="4"/>
      <c r="K126" s="4"/>
      <c r="L126" s="8"/>
      <c r="M126" s="4"/>
      <c r="N126" s="4"/>
      <c r="O126" s="4"/>
      <c r="P126" s="4"/>
      <c r="Q126" s="8"/>
    </row>
    <row r="127" spans="1:17">
      <c r="A127" s="5" t="s">
        <v>140</v>
      </c>
      <c r="B127" s="5" t="s">
        <v>44</v>
      </c>
      <c r="C127" s="5">
        <v>3</v>
      </c>
      <c r="D127" s="5">
        <v>0.5</v>
      </c>
      <c r="E127" s="5">
        <v>0.5</v>
      </c>
      <c r="F127" s="5">
        <v>0.5</v>
      </c>
      <c r="G127" s="5">
        <v>0.5</v>
      </c>
      <c r="H127" s="5">
        <v>0.5</v>
      </c>
      <c r="I127" s="5">
        <v>1</v>
      </c>
      <c r="J127" s="5">
        <v>0</v>
      </c>
      <c r="K127" s="5">
        <v>3</v>
      </c>
      <c r="L127" s="8" t="s">
        <v>45</v>
      </c>
      <c r="M127" s="5"/>
      <c r="N127" s="5" t="s">
        <v>142</v>
      </c>
      <c r="O127" s="5" t="s">
        <v>170</v>
      </c>
      <c r="P127" s="8"/>
      <c r="Q127" s="8"/>
    </row>
    <row r="128" spans="1:17">
      <c r="A128" s="4" t="s">
        <v>140</v>
      </c>
      <c r="B128" s="4" t="s">
        <v>49</v>
      </c>
      <c r="C128" s="4"/>
      <c r="D128" s="4"/>
      <c r="E128" s="4"/>
      <c r="F128" s="4"/>
      <c r="G128" s="4"/>
      <c r="H128" s="4"/>
      <c r="I128" s="4"/>
      <c r="J128" s="4"/>
      <c r="K128" s="4"/>
      <c r="L128" s="8"/>
      <c r="M128" s="4"/>
      <c r="N128" s="4"/>
      <c r="O128" s="4"/>
      <c r="P128" s="4"/>
      <c r="Q128" s="8"/>
    </row>
    <row r="129" spans="1:17">
      <c r="A129" s="5" t="s">
        <v>140</v>
      </c>
      <c r="B129" s="5" t="s">
        <v>52</v>
      </c>
      <c r="C129" s="5"/>
      <c r="D129" s="5"/>
      <c r="E129" s="5"/>
      <c r="F129" s="5"/>
      <c r="G129" s="5"/>
      <c r="H129" s="5"/>
      <c r="I129" s="5"/>
      <c r="J129" s="5"/>
      <c r="K129" s="5"/>
      <c r="L129" s="8"/>
      <c r="M129" s="5"/>
      <c r="N129" s="5"/>
      <c r="O129" s="5"/>
      <c r="P129" s="5"/>
      <c r="Q129" s="8"/>
    </row>
    <row r="130" spans="1:17">
      <c r="A130" s="4" t="s">
        <v>140</v>
      </c>
      <c r="B130" s="4" t="s">
        <v>55</v>
      </c>
      <c r="C130" s="4"/>
      <c r="D130" s="4"/>
      <c r="E130" s="4"/>
      <c r="F130" s="4"/>
      <c r="G130" s="4"/>
      <c r="H130" s="4"/>
      <c r="I130" s="4"/>
      <c r="J130" s="4"/>
      <c r="K130" s="4"/>
      <c r="L130" s="8"/>
      <c r="M130" s="4"/>
      <c r="N130" s="4"/>
      <c r="O130" s="4"/>
      <c r="P130" s="4"/>
      <c r="Q130" s="8"/>
    </row>
    <row r="131" spans="1:17">
      <c r="A131" s="5" t="s">
        <v>140</v>
      </c>
      <c r="B131" s="5" t="s">
        <v>56</v>
      </c>
      <c r="C131" s="5"/>
      <c r="D131" s="5"/>
      <c r="E131" s="5"/>
      <c r="F131" s="5"/>
      <c r="G131" s="5"/>
      <c r="H131" s="5"/>
      <c r="I131" s="5"/>
      <c r="J131" s="5"/>
      <c r="K131" s="5"/>
      <c r="L131" s="8"/>
      <c r="M131" s="5"/>
      <c r="N131" s="5"/>
      <c r="O131" s="5"/>
      <c r="P131" s="5"/>
      <c r="Q131" s="8"/>
    </row>
    <row r="132" spans="1:17">
      <c r="A132" s="4" t="s">
        <v>143</v>
      </c>
      <c r="B132" s="4" t="s">
        <v>44</v>
      </c>
      <c r="C132" s="4">
        <v>1.5</v>
      </c>
      <c r="D132" s="4">
        <v>0.5</v>
      </c>
      <c r="E132" s="4">
        <v>0.5</v>
      </c>
      <c r="F132" s="4">
        <v>0</v>
      </c>
      <c r="G132" s="4">
        <v>0.5</v>
      </c>
      <c r="H132" s="4">
        <v>0</v>
      </c>
      <c r="I132" s="4">
        <v>0.5</v>
      </c>
      <c r="J132" s="4">
        <v>0</v>
      </c>
      <c r="K132" s="4">
        <v>1.5</v>
      </c>
      <c r="L132" s="8" t="s">
        <v>45</v>
      </c>
      <c r="M132" s="4"/>
      <c r="N132" s="4" t="s">
        <v>145</v>
      </c>
      <c r="O132" s="4" t="s">
        <v>170</v>
      </c>
      <c r="P132" s="8"/>
      <c r="Q132" s="8"/>
    </row>
    <row r="133" spans="1:17">
      <c r="A133" s="5" t="s">
        <v>143</v>
      </c>
      <c r="B133" s="5" t="s">
        <v>49</v>
      </c>
      <c r="C133" s="5"/>
      <c r="D133" s="5"/>
      <c r="E133" s="5"/>
      <c r="F133" s="5"/>
      <c r="G133" s="5"/>
      <c r="H133" s="5"/>
      <c r="I133" s="5"/>
      <c r="J133" s="5"/>
      <c r="K133" s="5"/>
      <c r="L133" s="8"/>
      <c r="M133" s="5"/>
      <c r="N133" s="5"/>
      <c r="O133" s="5"/>
      <c r="P133" s="5"/>
      <c r="Q133" s="5"/>
    </row>
    <row r="134" spans="1:17">
      <c r="A134" s="4" t="s">
        <v>143</v>
      </c>
      <c r="B134" s="4" t="s">
        <v>52</v>
      </c>
      <c r="C134" s="4"/>
      <c r="D134" s="4"/>
      <c r="E134" s="4"/>
      <c r="F134" s="4"/>
      <c r="G134" s="4"/>
      <c r="H134" s="4"/>
      <c r="I134" s="4"/>
      <c r="J134" s="4"/>
      <c r="K134" s="4"/>
      <c r="L134" s="8"/>
      <c r="M134" s="4"/>
      <c r="N134" s="4"/>
      <c r="O134" s="4"/>
      <c r="P134" s="4"/>
      <c r="Q134" s="8"/>
    </row>
    <row r="135" spans="1:17">
      <c r="A135" s="5" t="s">
        <v>143</v>
      </c>
      <c r="B135" s="5" t="s">
        <v>55</v>
      </c>
      <c r="C135" s="5"/>
      <c r="D135" s="5"/>
      <c r="E135" s="5"/>
      <c r="F135" s="5"/>
      <c r="G135" s="5"/>
      <c r="H135" s="5"/>
      <c r="I135" s="5"/>
      <c r="J135" s="5"/>
      <c r="K135" s="5"/>
      <c r="L135" s="8"/>
      <c r="M135" s="5"/>
      <c r="N135" s="5"/>
      <c r="O135" s="5"/>
      <c r="P135" s="5"/>
      <c r="Q135" s="5"/>
    </row>
    <row r="136" spans="1:17">
      <c r="A136" s="4" t="s">
        <v>143</v>
      </c>
      <c r="B136" s="4" t="s">
        <v>56</v>
      </c>
      <c r="C136" s="4"/>
      <c r="D136" s="4"/>
      <c r="E136" s="4"/>
      <c r="F136" s="4"/>
      <c r="G136" s="4"/>
      <c r="H136" s="4"/>
      <c r="I136" s="4"/>
      <c r="J136" s="4"/>
      <c r="K136" s="4"/>
      <c r="L136" s="8"/>
      <c r="M136" s="4"/>
      <c r="N136" s="4"/>
      <c r="O136" s="4"/>
      <c r="P136" s="4"/>
      <c r="Q136" s="8"/>
    </row>
    <row r="137" spans="1:17">
      <c r="A137" s="5" t="s">
        <v>146</v>
      </c>
      <c r="B137" s="5" t="s">
        <v>44</v>
      </c>
      <c r="C137" s="5">
        <v>1.5</v>
      </c>
      <c r="D137" s="5">
        <v>0.5</v>
      </c>
      <c r="E137" s="5">
        <v>0.5</v>
      </c>
      <c r="F137" s="5">
        <v>0</v>
      </c>
      <c r="G137" s="5">
        <v>0.5</v>
      </c>
      <c r="H137" s="5">
        <v>0</v>
      </c>
      <c r="I137" s="5">
        <v>0.5</v>
      </c>
      <c r="J137" s="5">
        <v>0</v>
      </c>
      <c r="K137" s="5">
        <v>1.5</v>
      </c>
      <c r="L137" s="8" t="s">
        <v>45</v>
      </c>
      <c r="M137" s="5"/>
      <c r="N137" s="5" t="s">
        <v>148</v>
      </c>
      <c r="O137" s="5" t="s">
        <v>170</v>
      </c>
      <c r="P137" s="8"/>
      <c r="Q137" s="8"/>
    </row>
    <row r="138" spans="1:17">
      <c r="A138" s="4" t="s">
        <v>146</v>
      </c>
      <c r="B138" s="4" t="s">
        <v>49</v>
      </c>
      <c r="C138" s="4"/>
      <c r="D138" s="4"/>
      <c r="E138" s="4"/>
      <c r="F138" s="4"/>
      <c r="G138" s="4"/>
      <c r="H138" s="4"/>
      <c r="I138" s="4"/>
      <c r="J138" s="4"/>
      <c r="K138" s="4"/>
      <c r="L138" s="8"/>
      <c r="M138" s="4"/>
      <c r="N138" s="4"/>
      <c r="O138" s="4"/>
      <c r="P138" s="4"/>
      <c r="Q138" s="8"/>
    </row>
    <row r="139" spans="1:17">
      <c r="A139" s="5" t="s">
        <v>146</v>
      </c>
      <c r="B139" s="5" t="s">
        <v>52</v>
      </c>
      <c r="C139" s="5"/>
      <c r="D139" s="5"/>
      <c r="E139" s="5"/>
      <c r="F139" s="5"/>
      <c r="G139" s="5"/>
      <c r="H139" s="5"/>
      <c r="I139" s="5"/>
      <c r="J139" s="5"/>
      <c r="K139" s="5"/>
      <c r="L139" s="8"/>
      <c r="M139" s="5"/>
      <c r="N139" s="5"/>
      <c r="O139" s="5"/>
      <c r="P139" s="5"/>
      <c r="Q139" s="8"/>
    </row>
    <row r="140" spans="1:17">
      <c r="A140" s="4" t="s">
        <v>146</v>
      </c>
      <c r="B140" s="4" t="s">
        <v>55</v>
      </c>
      <c r="C140" s="4"/>
      <c r="D140" s="4"/>
      <c r="E140" s="4"/>
      <c r="F140" s="4"/>
      <c r="G140" s="4"/>
      <c r="H140" s="4"/>
      <c r="I140" s="4"/>
      <c r="J140" s="4"/>
      <c r="K140" s="4"/>
      <c r="L140" s="8"/>
      <c r="M140" s="4"/>
      <c r="N140" s="4"/>
      <c r="O140" s="4"/>
      <c r="P140" s="4"/>
      <c r="Q140" s="4"/>
    </row>
    <row r="141" spans="1:17">
      <c r="A141" s="5" t="s">
        <v>146</v>
      </c>
      <c r="B141" s="5" t="s">
        <v>56</v>
      </c>
      <c r="C141" s="5"/>
      <c r="D141" s="5"/>
      <c r="E141" s="5"/>
      <c r="F141" s="5"/>
      <c r="G141" s="5"/>
      <c r="H141" s="5"/>
      <c r="I141" s="5"/>
      <c r="J141" s="5"/>
      <c r="K141" s="5"/>
      <c r="L141" s="8"/>
      <c r="M141" s="5"/>
      <c r="N141" s="5"/>
      <c r="O141" s="5"/>
      <c r="P141" s="5"/>
      <c r="Q141" s="8"/>
    </row>
    <row r="142" spans="1:17">
      <c r="A142" s="4" t="s">
        <v>149</v>
      </c>
      <c r="B142" s="4" t="s">
        <v>44</v>
      </c>
      <c r="C142" s="4">
        <v>0.5</v>
      </c>
      <c r="D142" s="4">
        <v>0.5</v>
      </c>
      <c r="E142" s="4">
        <v>0.5</v>
      </c>
      <c r="F142" s="4">
        <v>0</v>
      </c>
      <c r="G142" s="4">
        <v>0</v>
      </c>
      <c r="H142" s="4">
        <v>0</v>
      </c>
      <c r="I142" s="4">
        <v>0</v>
      </c>
      <c r="J142" s="4">
        <v>0</v>
      </c>
      <c r="K142" s="4">
        <v>0.5</v>
      </c>
      <c r="L142" s="8" t="s">
        <v>45</v>
      </c>
      <c r="M142" s="4"/>
      <c r="N142" s="4" t="s">
        <v>151</v>
      </c>
      <c r="O142" s="4" t="s">
        <v>170</v>
      </c>
      <c r="P142" s="8"/>
      <c r="Q142" s="8"/>
    </row>
    <row r="143" spans="1:17">
      <c r="A143" s="5" t="s">
        <v>149</v>
      </c>
      <c r="B143" s="5" t="s">
        <v>49</v>
      </c>
      <c r="C143" s="5"/>
      <c r="D143" s="5"/>
      <c r="E143" s="5"/>
      <c r="F143" s="5"/>
      <c r="G143" s="5"/>
      <c r="H143" s="5"/>
      <c r="I143" s="5"/>
      <c r="J143" s="5"/>
      <c r="K143" s="5"/>
      <c r="L143" s="8"/>
      <c r="M143" s="5"/>
      <c r="N143" s="5"/>
      <c r="O143" s="5"/>
      <c r="P143" s="5"/>
      <c r="Q143" s="8"/>
    </row>
    <row r="144" spans="1:17">
      <c r="A144" s="4" t="s">
        <v>149</v>
      </c>
      <c r="B144" s="4" t="s">
        <v>52</v>
      </c>
      <c r="C144" s="4"/>
      <c r="D144" s="4"/>
      <c r="E144" s="4"/>
      <c r="F144" s="4"/>
      <c r="G144" s="4"/>
      <c r="H144" s="4"/>
      <c r="I144" s="4"/>
      <c r="J144" s="4"/>
      <c r="K144" s="4"/>
      <c r="L144" s="8"/>
      <c r="M144" s="4"/>
      <c r="N144" s="4"/>
      <c r="O144" s="4"/>
      <c r="P144" s="4"/>
      <c r="Q144" s="8"/>
    </row>
    <row r="145" spans="1:17">
      <c r="A145" s="5" t="s">
        <v>149</v>
      </c>
      <c r="B145" s="5" t="s">
        <v>55</v>
      </c>
      <c r="C145" s="5"/>
      <c r="D145" s="5"/>
      <c r="E145" s="5"/>
      <c r="F145" s="5"/>
      <c r="G145" s="5"/>
      <c r="H145" s="5"/>
      <c r="I145" s="5"/>
      <c r="J145" s="5"/>
      <c r="K145" s="5"/>
      <c r="L145" s="8"/>
      <c r="M145" s="5"/>
      <c r="N145" s="5"/>
      <c r="O145" s="5"/>
      <c r="P145" s="5"/>
      <c r="Q145" s="8"/>
    </row>
    <row r="146" spans="1:17">
      <c r="A146" s="4" t="s">
        <v>149</v>
      </c>
      <c r="B146" s="4" t="s">
        <v>56</v>
      </c>
      <c r="C146" s="4"/>
      <c r="D146" s="4"/>
      <c r="E146" s="4"/>
      <c r="F146" s="4"/>
      <c r="G146" s="4"/>
      <c r="H146" s="4"/>
      <c r="I146" s="4"/>
      <c r="J146" s="4"/>
      <c r="K146" s="4"/>
      <c r="L146" s="8"/>
      <c r="M146" s="4"/>
      <c r="N146" s="4"/>
      <c r="O146" s="4"/>
      <c r="P146" s="4"/>
      <c r="Q146" s="8"/>
    </row>
    <row r="147" spans="1:17">
      <c r="A147" s="5" t="s">
        <v>152</v>
      </c>
      <c r="B147" s="5" t="s">
        <v>44</v>
      </c>
      <c r="C147" s="5">
        <v>3</v>
      </c>
      <c r="D147" s="5">
        <v>0.5</v>
      </c>
      <c r="E147" s="5">
        <v>1</v>
      </c>
      <c r="F147" s="5">
        <v>0.5</v>
      </c>
      <c r="G147" s="5">
        <v>0.5</v>
      </c>
      <c r="H147" s="5">
        <v>0.5</v>
      </c>
      <c r="I147" s="5">
        <v>0.5</v>
      </c>
      <c r="J147" s="5">
        <v>0</v>
      </c>
      <c r="K147" s="5">
        <v>3</v>
      </c>
      <c r="L147" s="8" t="s">
        <v>45</v>
      </c>
      <c r="M147" s="5"/>
      <c r="N147" s="5" t="s">
        <v>154</v>
      </c>
      <c r="O147" s="5" t="s">
        <v>170</v>
      </c>
      <c r="P147" s="8"/>
      <c r="Q147" s="8"/>
    </row>
    <row r="148" spans="1:17">
      <c r="A148" s="4" t="s">
        <v>152</v>
      </c>
      <c r="B148" s="4" t="s">
        <v>49</v>
      </c>
      <c r="C148" s="4"/>
      <c r="D148" s="4"/>
      <c r="E148" s="4"/>
      <c r="F148" s="4"/>
      <c r="G148" s="4"/>
      <c r="H148" s="4"/>
      <c r="I148" s="4"/>
      <c r="J148" s="4"/>
      <c r="K148" s="4"/>
      <c r="L148" s="8"/>
      <c r="M148" s="4"/>
      <c r="N148" s="4"/>
      <c r="O148" s="4"/>
      <c r="P148" s="4"/>
      <c r="Q148" s="8"/>
    </row>
    <row r="149" spans="1:17">
      <c r="A149" s="5" t="s">
        <v>152</v>
      </c>
      <c r="B149" s="5" t="s">
        <v>52</v>
      </c>
      <c r="C149" s="5"/>
      <c r="D149" s="5"/>
      <c r="E149" s="5"/>
      <c r="F149" s="5"/>
      <c r="G149" s="5"/>
      <c r="H149" s="5"/>
      <c r="I149" s="5"/>
      <c r="J149" s="5"/>
      <c r="K149" s="5"/>
      <c r="L149" s="8"/>
      <c r="M149" s="5"/>
      <c r="N149" s="5"/>
      <c r="O149" s="5"/>
      <c r="P149" s="5"/>
      <c r="Q149" s="8"/>
    </row>
    <row r="150" spans="1:17">
      <c r="A150" s="4" t="s">
        <v>152</v>
      </c>
      <c r="B150" s="4" t="s">
        <v>55</v>
      </c>
      <c r="C150" s="4"/>
      <c r="D150" s="4"/>
      <c r="E150" s="4"/>
      <c r="F150" s="4"/>
      <c r="G150" s="4"/>
      <c r="H150" s="4"/>
      <c r="I150" s="4"/>
      <c r="J150" s="4"/>
      <c r="K150" s="4"/>
      <c r="L150" s="8"/>
      <c r="M150" s="4"/>
      <c r="N150" s="4"/>
      <c r="O150" s="4"/>
      <c r="P150" s="4"/>
      <c r="Q150" s="8"/>
    </row>
    <row r="151" spans="1:17">
      <c r="A151" s="5" t="s">
        <v>152</v>
      </c>
      <c r="B151" s="5" t="s">
        <v>56</v>
      </c>
      <c r="C151" s="5"/>
      <c r="D151" s="5"/>
      <c r="E151" s="5"/>
      <c r="F151" s="5"/>
      <c r="G151" s="5"/>
      <c r="H151" s="5"/>
      <c r="I151" s="5"/>
      <c r="J151" s="5"/>
      <c r="K151" s="5"/>
      <c r="L151" s="8"/>
      <c r="M151" s="5"/>
      <c r="N151" s="5"/>
      <c r="O151" s="5"/>
      <c r="P151" s="5"/>
      <c r="Q151" s="8"/>
    </row>
  </sheetData>
  <phoneticPr fontId="4"/>
  <conditionalFormatting sqref="L2:L166">
    <cfRule type="expression" dxfId="3" priority="1">
      <formula>L2&lt;&gt;""</formula>
    </cfRule>
  </conditionalFormatting>
  <conditionalFormatting sqref="P2:Q166">
    <cfRule type="expression" dxfId="2" priority="2">
      <formula>P2&lt;&gt;""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1"/>
  <sheetViews>
    <sheetView topLeftCell="A101" workbookViewId="0">
      <selection activeCell="D147" sqref="D147"/>
    </sheetView>
  </sheetViews>
  <sheetFormatPr defaultRowHeight="14.25"/>
  <cols>
    <col min="1" max="2" width="11" customWidth="1"/>
    <col min="3" max="3" width="18" customWidth="1"/>
    <col min="4" max="4" width="14" customWidth="1"/>
    <col min="5" max="6" width="24" customWidth="1"/>
    <col min="7" max="8" width="18" customWidth="1"/>
  </cols>
  <sheetData>
    <row r="1" spans="1:8" ht="32.1" customHeight="1">
      <c r="A1" s="3" t="s">
        <v>17</v>
      </c>
      <c r="B1" s="3" t="s">
        <v>18</v>
      </c>
      <c r="C1" s="3" t="s">
        <v>19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</row>
    <row r="2" spans="1:8">
      <c r="A2" s="4" t="s">
        <v>43</v>
      </c>
      <c r="B2" s="4" t="s">
        <v>44</v>
      </c>
      <c r="C2" s="4">
        <v>15</v>
      </c>
      <c r="D2" s="4"/>
      <c r="E2" s="4" t="s">
        <v>47</v>
      </c>
      <c r="F2" s="4" t="s">
        <v>171</v>
      </c>
      <c r="G2" s="4"/>
      <c r="H2" s="8"/>
    </row>
    <row r="3" spans="1:8">
      <c r="A3" s="5" t="s">
        <v>43</v>
      </c>
      <c r="B3" s="5" t="s">
        <v>49</v>
      </c>
      <c r="C3" s="5"/>
      <c r="D3" s="5"/>
      <c r="E3" s="5"/>
      <c r="F3" s="5"/>
      <c r="G3" s="5"/>
      <c r="H3" s="5"/>
    </row>
    <row r="4" spans="1:8">
      <c r="A4" s="4" t="s">
        <v>43</v>
      </c>
      <c r="B4" s="4" t="s">
        <v>52</v>
      </c>
      <c r="C4" s="4"/>
      <c r="D4" s="4"/>
      <c r="E4" s="4"/>
      <c r="F4" s="4"/>
      <c r="G4" s="4"/>
      <c r="H4" s="4"/>
    </row>
    <row r="5" spans="1:8">
      <c r="A5" s="5" t="s">
        <v>43</v>
      </c>
      <c r="B5" s="5" t="s">
        <v>55</v>
      </c>
      <c r="C5" s="5"/>
      <c r="D5" s="5"/>
      <c r="E5" s="5"/>
      <c r="F5" s="5"/>
      <c r="G5" s="5"/>
      <c r="H5" s="5"/>
    </row>
    <row r="6" spans="1:8">
      <c r="A6" s="4" t="s">
        <v>43</v>
      </c>
      <c r="B6" s="4" t="s">
        <v>56</v>
      </c>
      <c r="C6" s="4"/>
      <c r="D6" s="4"/>
      <c r="E6" s="4"/>
      <c r="F6" s="4"/>
      <c r="G6" s="4"/>
      <c r="H6" s="8"/>
    </row>
    <row r="7" spans="1:8">
      <c r="A7" s="5" t="s">
        <v>57</v>
      </c>
      <c r="B7" s="5" t="s">
        <v>44</v>
      </c>
      <c r="C7" s="5">
        <v>21</v>
      </c>
      <c r="D7" s="5"/>
      <c r="E7" s="5" t="s">
        <v>59</v>
      </c>
      <c r="F7" s="5" t="s">
        <v>171</v>
      </c>
      <c r="G7" s="8"/>
      <c r="H7" s="5"/>
    </row>
    <row r="8" spans="1:8">
      <c r="A8" s="4" t="s">
        <v>57</v>
      </c>
      <c r="B8" s="4" t="s">
        <v>49</v>
      </c>
      <c r="C8" s="4"/>
      <c r="D8" s="4"/>
      <c r="E8" s="4"/>
      <c r="F8" s="4"/>
      <c r="G8" s="4"/>
      <c r="H8" s="4"/>
    </row>
    <row r="9" spans="1:8">
      <c r="A9" s="5" t="s">
        <v>57</v>
      </c>
      <c r="B9" s="5" t="s">
        <v>52</v>
      </c>
      <c r="C9" s="5"/>
      <c r="D9" s="5"/>
      <c r="E9" s="5"/>
      <c r="F9" s="5"/>
      <c r="G9" s="5"/>
      <c r="H9" s="8"/>
    </row>
    <row r="10" spans="1:8">
      <c r="A10" s="4" t="s">
        <v>57</v>
      </c>
      <c r="B10" s="4" t="s">
        <v>55</v>
      </c>
      <c r="C10" s="4"/>
      <c r="D10" s="4"/>
      <c r="E10" s="4"/>
      <c r="F10" s="4"/>
      <c r="G10" s="4"/>
      <c r="H10" s="8"/>
    </row>
    <row r="11" spans="1:8">
      <c r="A11" s="5" t="s">
        <v>57</v>
      </c>
      <c r="B11" s="5" t="s">
        <v>56</v>
      </c>
      <c r="C11" s="5"/>
      <c r="D11" s="5"/>
      <c r="E11" s="5"/>
      <c r="F11" s="5"/>
      <c r="G11" s="8"/>
      <c r="H11" s="8"/>
    </row>
    <row r="12" spans="1:8">
      <c r="A12" s="4" t="s">
        <v>60</v>
      </c>
      <c r="B12" s="4" t="s">
        <v>44</v>
      </c>
      <c r="C12" s="4">
        <v>25</v>
      </c>
      <c r="D12" s="4"/>
      <c r="E12" s="4" t="s">
        <v>62</v>
      </c>
      <c r="F12" s="4" t="s">
        <v>171</v>
      </c>
      <c r="G12" s="8"/>
      <c r="H12" s="8"/>
    </row>
    <row r="13" spans="1:8">
      <c r="A13" s="5" t="s">
        <v>60</v>
      </c>
      <c r="B13" s="5" t="s">
        <v>49</v>
      </c>
      <c r="C13" s="5"/>
      <c r="D13" s="5"/>
      <c r="E13" s="5"/>
      <c r="F13" s="5"/>
      <c r="G13" s="5"/>
      <c r="H13" s="5"/>
    </row>
    <row r="14" spans="1:8">
      <c r="A14" s="4" t="s">
        <v>60</v>
      </c>
      <c r="B14" s="4" t="s">
        <v>52</v>
      </c>
      <c r="C14" s="4"/>
      <c r="D14" s="4"/>
      <c r="E14" s="4"/>
      <c r="F14" s="4"/>
      <c r="G14" s="4"/>
      <c r="H14" s="4"/>
    </row>
    <row r="15" spans="1:8">
      <c r="A15" s="5" t="s">
        <v>60</v>
      </c>
      <c r="B15" s="5" t="s">
        <v>55</v>
      </c>
      <c r="C15" s="5"/>
      <c r="D15" s="5"/>
      <c r="E15" s="5"/>
      <c r="F15" s="5"/>
      <c r="G15" s="5"/>
      <c r="H15" s="8"/>
    </row>
    <row r="16" spans="1:8">
      <c r="A16" s="4" t="s">
        <v>60</v>
      </c>
      <c r="B16" s="4" t="s">
        <v>56</v>
      </c>
      <c r="C16" s="4"/>
      <c r="D16" s="4"/>
      <c r="E16" s="4"/>
      <c r="F16" s="4"/>
      <c r="G16" s="4"/>
      <c r="H16" s="8"/>
    </row>
    <row r="17" spans="1:8">
      <c r="A17" s="5" t="s">
        <v>66</v>
      </c>
      <c r="B17" s="5" t="s">
        <v>44</v>
      </c>
      <c r="C17" s="5">
        <v>21</v>
      </c>
      <c r="D17" s="5"/>
      <c r="E17" s="5" t="s">
        <v>68</v>
      </c>
      <c r="F17" s="5" t="s">
        <v>172</v>
      </c>
      <c r="G17" s="8"/>
      <c r="H17" s="8"/>
    </row>
    <row r="18" spans="1:8">
      <c r="A18" s="4" t="s">
        <v>66</v>
      </c>
      <c r="B18" s="4" t="s">
        <v>49</v>
      </c>
      <c r="C18" s="4"/>
      <c r="D18" s="4"/>
      <c r="E18" s="4"/>
      <c r="F18" s="4"/>
      <c r="G18" s="4"/>
      <c r="H18" s="4"/>
    </row>
    <row r="19" spans="1:8">
      <c r="A19" s="5" t="s">
        <v>66</v>
      </c>
      <c r="B19" s="5" t="s">
        <v>52</v>
      </c>
      <c r="C19" s="5"/>
      <c r="D19" s="5"/>
      <c r="E19" s="5"/>
      <c r="F19" s="5"/>
      <c r="G19" s="5"/>
      <c r="H19" s="8"/>
    </row>
    <row r="20" spans="1:8">
      <c r="A20" s="4" t="s">
        <v>66</v>
      </c>
      <c r="B20" s="4" t="s">
        <v>55</v>
      </c>
      <c r="C20" s="4"/>
      <c r="D20" s="4"/>
      <c r="E20" s="4"/>
      <c r="F20" s="4"/>
      <c r="G20" s="4"/>
      <c r="H20" s="4"/>
    </row>
    <row r="21" spans="1:8">
      <c r="A21" s="5" t="s">
        <v>66</v>
      </c>
      <c r="B21" s="5" t="s">
        <v>56</v>
      </c>
      <c r="C21" s="5"/>
      <c r="D21" s="5"/>
      <c r="E21" s="5"/>
      <c r="F21" s="5"/>
      <c r="G21" s="5"/>
      <c r="H21" s="8"/>
    </row>
    <row r="22" spans="1:8">
      <c r="A22" s="4" t="s">
        <v>70</v>
      </c>
      <c r="B22" s="4" t="s">
        <v>44</v>
      </c>
      <c r="C22" s="4">
        <v>20</v>
      </c>
      <c r="D22" s="4"/>
      <c r="E22" s="4" t="s">
        <v>72</v>
      </c>
      <c r="F22" s="4" t="s">
        <v>172</v>
      </c>
      <c r="G22" s="8"/>
      <c r="H22" s="8"/>
    </row>
    <row r="23" spans="1:8">
      <c r="A23" s="5" t="s">
        <v>70</v>
      </c>
      <c r="B23" s="5" t="s">
        <v>49</v>
      </c>
      <c r="C23" s="5"/>
      <c r="D23" s="5"/>
      <c r="E23" s="5"/>
      <c r="F23" s="5"/>
      <c r="G23" s="5"/>
      <c r="H23" s="5"/>
    </row>
    <row r="24" spans="1:8">
      <c r="A24" s="4" t="s">
        <v>70</v>
      </c>
      <c r="B24" s="4" t="s">
        <v>52</v>
      </c>
      <c r="C24" s="4"/>
      <c r="D24" s="4"/>
      <c r="E24" s="4"/>
      <c r="F24" s="4"/>
      <c r="G24" s="4"/>
      <c r="H24" s="4"/>
    </row>
    <row r="25" spans="1:8">
      <c r="A25" s="5" t="s">
        <v>70</v>
      </c>
      <c r="B25" s="5" t="s">
        <v>55</v>
      </c>
      <c r="C25" s="5"/>
      <c r="D25" s="5"/>
      <c r="E25" s="5"/>
      <c r="F25" s="5"/>
      <c r="G25" s="5"/>
      <c r="H25" s="8"/>
    </row>
    <row r="26" spans="1:8">
      <c r="A26" s="4" t="s">
        <v>70</v>
      </c>
      <c r="B26" s="4" t="s">
        <v>56</v>
      </c>
      <c r="C26" s="4"/>
      <c r="D26" s="4"/>
      <c r="E26" s="4"/>
      <c r="F26" s="4"/>
      <c r="G26" s="4"/>
      <c r="H26" s="8"/>
    </row>
    <row r="27" spans="1:8">
      <c r="A27" s="5" t="s">
        <v>74</v>
      </c>
      <c r="B27" s="5" t="s">
        <v>44</v>
      </c>
      <c r="C27" s="5">
        <v>26</v>
      </c>
      <c r="D27" s="5"/>
      <c r="E27" s="5" t="s">
        <v>76</v>
      </c>
      <c r="F27" s="5" t="s">
        <v>172</v>
      </c>
      <c r="G27" s="8"/>
      <c r="H27" s="8"/>
    </row>
    <row r="28" spans="1:8">
      <c r="A28" s="4" t="s">
        <v>74</v>
      </c>
      <c r="B28" s="4" t="s">
        <v>49</v>
      </c>
      <c r="C28" s="4"/>
      <c r="D28" s="4"/>
      <c r="E28" s="4"/>
      <c r="F28" s="4"/>
      <c r="G28" s="4"/>
      <c r="H28" s="4"/>
    </row>
    <row r="29" spans="1:8">
      <c r="A29" s="5" t="s">
        <v>74</v>
      </c>
      <c r="B29" s="5" t="s">
        <v>52</v>
      </c>
      <c r="C29" s="5"/>
      <c r="D29" s="5"/>
      <c r="E29" s="5"/>
      <c r="F29" s="5"/>
      <c r="G29" s="5"/>
      <c r="H29" s="8"/>
    </row>
    <row r="30" spans="1:8">
      <c r="A30" s="4" t="s">
        <v>74</v>
      </c>
      <c r="B30" s="4" t="s">
        <v>55</v>
      </c>
      <c r="C30" s="4"/>
      <c r="D30" s="4"/>
      <c r="E30" s="4"/>
      <c r="F30" s="4"/>
      <c r="G30" s="4"/>
      <c r="H30" s="8"/>
    </row>
    <row r="31" spans="1:8">
      <c r="A31" s="5" t="s">
        <v>74</v>
      </c>
      <c r="B31" s="5" t="s">
        <v>56</v>
      </c>
      <c r="C31" s="5"/>
      <c r="D31" s="5"/>
      <c r="E31" s="5"/>
      <c r="F31" s="5"/>
      <c r="G31" s="5"/>
      <c r="H31" s="8"/>
    </row>
    <row r="32" spans="1:8">
      <c r="A32" s="4" t="s">
        <v>78</v>
      </c>
      <c r="B32" s="4" t="s">
        <v>44</v>
      </c>
      <c r="C32" s="4">
        <v>25</v>
      </c>
      <c r="D32" s="4"/>
      <c r="E32" s="4" t="s">
        <v>80</v>
      </c>
      <c r="F32" s="4" t="s">
        <v>172</v>
      </c>
      <c r="G32" s="8"/>
      <c r="H32" s="8"/>
    </row>
    <row r="33" spans="1:8">
      <c r="A33" s="5" t="s">
        <v>78</v>
      </c>
      <c r="B33" s="5" t="s">
        <v>49</v>
      </c>
      <c r="C33" s="5"/>
      <c r="D33" s="5"/>
      <c r="E33" s="5"/>
      <c r="F33" s="5"/>
      <c r="G33" s="5"/>
      <c r="H33" s="5"/>
    </row>
    <row r="34" spans="1:8">
      <c r="A34" s="4" t="s">
        <v>78</v>
      </c>
      <c r="B34" s="4" t="s">
        <v>52</v>
      </c>
      <c r="C34" s="4"/>
      <c r="D34" s="4"/>
      <c r="E34" s="4"/>
      <c r="F34" s="4"/>
      <c r="G34" s="4"/>
      <c r="H34" s="4"/>
    </row>
    <row r="35" spans="1:8">
      <c r="A35" s="5" t="s">
        <v>78</v>
      </c>
      <c r="B35" s="5" t="s">
        <v>55</v>
      </c>
      <c r="C35" s="5"/>
      <c r="D35" s="5"/>
      <c r="E35" s="5"/>
      <c r="F35" s="5"/>
      <c r="G35" s="5"/>
      <c r="H35" s="8"/>
    </row>
    <row r="36" spans="1:8">
      <c r="A36" s="4" t="s">
        <v>78</v>
      </c>
      <c r="B36" s="4" t="s">
        <v>56</v>
      </c>
      <c r="C36" s="4"/>
      <c r="D36" s="4"/>
      <c r="E36" s="4"/>
      <c r="F36" s="4"/>
      <c r="G36" s="8"/>
      <c r="H36" s="4"/>
    </row>
    <row r="37" spans="1:8">
      <c r="A37" s="5" t="s">
        <v>82</v>
      </c>
      <c r="B37" s="5" t="s">
        <v>44</v>
      </c>
      <c r="C37" s="5">
        <v>21</v>
      </c>
      <c r="D37" s="5"/>
      <c r="E37" s="5" t="s">
        <v>84</v>
      </c>
      <c r="F37" s="5" t="s">
        <v>172</v>
      </c>
      <c r="G37" s="8"/>
      <c r="H37" s="5"/>
    </row>
    <row r="38" spans="1:8">
      <c r="A38" s="4" t="s">
        <v>82</v>
      </c>
      <c r="B38" s="4" t="s">
        <v>49</v>
      </c>
      <c r="C38" s="4"/>
      <c r="D38" s="4"/>
      <c r="E38" s="4"/>
      <c r="F38" s="4"/>
      <c r="G38" s="4"/>
      <c r="H38" s="4"/>
    </row>
    <row r="39" spans="1:8">
      <c r="A39" s="5" t="s">
        <v>82</v>
      </c>
      <c r="B39" s="5" t="s">
        <v>52</v>
      </c>
      <c r="C39" s="5"/>
      <c r="D39" s="5"/>
      <c r="E39" s="5"/>
      <c r="F39" s="5"/>
      <c r="G39" s="5"/>
      <c r="H39" s="5"/>
    </row>
    <row r="40" spans="1:8">
      <c r="A40" s="4" t="s">
        <v>82</v>
      </c>
      <c r="B40" s="4" t="s">
        <v>55</v>
      </c>
      <c r="C40" s="4"/>
      <c r="D40" s="4"/>
      <c r="E40" s="4"/>
      <c r="F40" s="4"/>
      <c r="G40" s="4"/>
      <c r="H40" s="4"/>
    </row>
    <row r="41" spans="1:8">
      <c r="A41" s="5" t="s">
        <v>82</v>
      </c>
      <c r="B41" s="5" t="s">
        <v>56</v>
      </c>
      <c r="C41" s="5"/>
      <c r="D41" s="5"/>
      <c r="E41" s="5"/>
      <c r="F41" s="5"/>
      <c r="G41" s="5"/>
      <c r="H41" s="5"/>
    </row>
    <row r="42" spans="1:8">
      <c r="A42" s="4" t="s">
        <v>87</v>
      </c>
      <c r="B42" s="4" t="s">
        <v>44</v>
      </c>
      <c r="C42" s="4">
        <v>22</v>
      </c>
      <c r="D42" s="4"/>
      <c r="E42" s="4" t="s">
        <v>88</v>
      </c>
      <c r="F42" s="4" t="s">
        <v>172</v>
      </c>
      <c r="G42" s="4"/>
      <c r="H42" s="4"/>
    </row>
    <row r="43" spans="1:8">
      <c r="A43" s="5" t="s">
        <v>87</v>
      </c>
      <c r="B43" s="5" t="s">
        <v>49</v>
      </c>
      <c r="C43" s="5"/>
      <c r="D43" s="5"/>
      <c r="E43" s="5"/>
      <c r="F43" s="5"/>
      <c r="G43" s="5"/>
      <c r="H43" s="5"/>
    </row>
    <row r="44" spans="1:8">
      <c r="A44" s="4" t="s">
        <v>87</v>
      </c>
      <c r="B44" s="4" t="s">
        <v>52</v>
      </c>
      <c r="C44" s="4"/>
      <c r="D44" s="4"/>
      <c r="E44" s="4"/>
      <c r="F44" s="4"/>
      <c r="G44" s="4"/>
      <c r="H44" s="4"/>
    </row>
    <row r="45" spans="1:8">
      <c r="A45" s="5" t="s">
        <v>87</v>
      </c>
      <c r="B45" s="5" t="s">
        <v>55</v>
      </c>
      <c r="C45" s="5"/>
      <c r="D45" s="5"/>
      <c r="E45" s="5"/>
      <c r="F45" s="5"/>
      <c r="G45" s="5"/>
      <c r="H45" s="5"/>
    </row>
    <row r="46" spans="1:8">
      <c r="A46" s="4" t="s">
        <v>87</v>
      </c>
      <c r="B46" s="4" t="s">
        <v>56</v>
      </c>
      <c r="C46" s="4"/>
      <c r="D46" s="4"/>
      <c r="E46" s="4"/>
      <c r="F46" s="4"/>
      <c r="G46" s="4"/>
      <c r="H46" s="4"/>
    </row>
    <row r="47" spans="1:8">
      <c r="A47" s="5" t="s">
        <v>90</v>
      </c>
      <c r="B47" s="5" t="s">
        <v>44</v>
      </c>
      <c r="C47" s="5">
        <v>20</v>
      </c>
      <c r="D47" s="5"/>
      <c r="E47" s="5" t="s">
        <v>92</v>
      </c>
      <c r="F47" s="5" t="s">
        <v>172</v>
      </c>
      <c r="G47" s="8"/>
      <c r="H47" s="8"/>
    </row>
    <row r="48" spans="1:8">
      <c r="A48" s="4" t="s">
        <v>90</v>
      </c>
      <c r="B48" s="4" t="s">
        <v>49</v>
      </c>
      <c r="C48" s="4"/>
      <c r="D48" s="4"/>
      <c r="E48" s="4"/>
      <c r="F48" s="4"/>
      <c r="G48" s="4"/>
      <c r="H48" s="4"/>
    </row>
    <row r="49" spans="1:8">
      <c r="A49" s="5" t="s">
        <v>90</v>
      </c>
      <c r="B49" s="5" t="s">
        <v>52</v>
      </c>
      <c r="C49" s="5"/>
      <c r="D49" s="5"/>
      <c r="E49" s="5"/>
      <c r="F49" s="5"/>
      <c r="G49" s="5"/>
      <c r="H49" s="5"/>
    </row>
    <row r="50" spans="1:8">
      <c r="A50" s="4" t="s">
        <v>90</v>
      </c>
      <c r="B50" s="4" t="s">
        <v>55</v>
      </c>
      <c r="C50" s="4"/>
      <c r="D50" s="4"/>
      <c r="E50" s="4"/>
      <c r="F50" s="4"/>
      <c r="G50" s="8"/>
      <c r="H50" s="4"/>
    </row>
    <row r="51" spans="1:8">
      <c r="A51" s="5" t="s">
        <v>90</v>
      </c>
      <c r="B51" s="5" t="s">
        <v>56</v>
      </c>
      <c r="C51" s="5"/>
      <c r="D51" s="5"/>
      <c r="E51" s="5"/>
      <c r="F51" s="5"/>
      <c r="G51" s="8"/>
      <c r="H51" s="5"/>
    </row>
    <row r="52" spans="1:8">
      <c r="A52" s="4" t="s">
        <v>93</v>
      </c>
      <c r="B52" s="4" t="s">
        <v>44</v>
      </c>
      <c r="C52" s="4">
        <v>20</v>
      </c>
      <c r="D52" s="4"/>
      <c r="E52" s="4" t="s">
        <v>95</v>
      </c>
      <c r="F52" s="4" t="s">
        <v>173</v>
      </c>
      <c r="G52" s="8"/>
      <c r="H52" s="8"/>
    </row>
    <row r="53" spans="1:8">
      <c r="A53" s="5" t="s">
        <v>93</v>
      </c>
      <c r="B53" s="5" t="s">
        <v>49</v>
      </c>
      <c r="C53" s="5"/>
      <c r="D53" s="5"/>
      <c r="E53" s="5"/>
      <c r="F53" s="5"/>
      <c r="G53" s="5"/>
      <c r="H53" s="5"/>
    </row>
    <row r="54" spans="1:8">
      <c r="A54" s="4" t="s">
        <v>93</v>
      </c>
      <c r="B54" s="4" t="s">
        <v>52</v>
      </c>
      <c r="C54" s="4"/>
      <c r="D54" s="4"/>
      <c r="E54" s="4"/>
      <c r="F54" s="4"/>
      <c r="G54" s="4"/>
      <c r="H54" s="4"/>
    </row>
    <row r="55" spans="1:8">
      <c r="A55" s="5" t="s">
        <v>93</v>
      </c>
      <c r="B55" s="5" t="s">
        <v>55</v>
      </c>
      <c r="C55" s="5"/>
      <c r="D55" s="5"/>
      <c r="E55" s="5"/>
      <c r="F55" s="5"/>
      <c r="G55" s="5"/>
      <c r="H55" s="5"/>
    </row>
    <row r="56" spans="1:8">
      <c r="A56" s="4" t="s">
        <v>93</v>
      </c>
      <c r="B56" s="4" t="s">
        <v>56</v>
      </c>
      <c r="C56" s="4"/>
      <c r="D56" s="4"/>
      <c r="E56" s="4"/>
      <c r="F56" s="4"/>
      <c r="G56" s="4"/>
      <c r="H56" s="8"/>
    </row>
    <row r="57" spans="1:8">
      <c r="A57" s="5" t="s">
        <v>96</v>
      </c>
      <c r="B57" s="5" t="s">
        <v>44</v>
      </c>
      <c r="C57" s="5">
        <v>22</v>
      </c>
      <c r="D57" s="5"/>
      <c r="E57" s="5" t="s">
        <v>98</v>
      </c>
      <c r="F57" s="5" t="s">
        <v>172</v>
      </c>
      <c r="G57" s="8"/>
      <c r="H57" s="8"/>
    </row>
    <row r="58" spans="1:8">
      <c r="A58" s="4" t="s">
        <v>96</v>
      </c>
      <c r="B58" s="4" t="s">
        <v>49</v>
      </c>
      <c r="C58" s="4"/>
      <c r="D58" s="4"/>
      <c r="E58" s="4"/>
      <c r="F58" s="4"/>
      <c r="G58" s="4"/>
      <c r="H58" s="8"/>
    </row>
    <row r="59" spans="1:8">
      <c r="A59" s="5" t="s">
        <v>96</v>
      </c>
      <c r="B59" s="5" t="s">
        <v>52</v>
      </c>
      <c r="C59" s="5"/>
      <c r="D59" s="5"/>
      <c r="E59" s="5"/>
      <c r="F59" s="5"/>
      <c r="G59" s="5"/>
      <c r="H59" s="5"/>
    </row>
    <row r="60" spans="1:8">
      <c r="A60" s="4" t="s">
        <v>96</v>
      </c>
      <c r="B60" s="4" t="s">
        <v>55</v>
      </c>
      <c r="C60" s="4"/>
      <c r="D60" s="4"/>
      <c r="E60" s="4"/>
      <c r="F60" s="4"/>
      <c r="G60" s="4"/>
      <c r="H60" s="8"/>
    </row>
    <row r="61" spans="1:8">
      <c r="A61" s="5" t="s">
        <v>96</v>
      </c>
      <c r="B61" s="5" t="s">
        <v>56</v>
      </c>
      <c r="C61" s="5"/>
      <c r="D61" s="5"/>
      <c r="E61" s="5"/>
      <c r="F61" s="5"/>
      <c r="G61" s="5"/>
      <c r="H61" s="5"/>
    </row>
    <row r="62" spans="1:8">
      <c r="A62" s="4" t="s">
        <v>100</v>
      </c>
      <c r="B62" s="4" t="s">
        <v>44</v>
      </c>
      <c r="C62" s="4">
        <v>19</v>
      </c>
      <c r="D62" s="4"/>
      <c r="E62" s="4" t="s">
        <v>102</v>
      </c>
      <c r="F62" s="4" t="s">
        <v>173</v>
      </c>
      <c r="G62" s="8"/>
      <c r="H62" s="8"/>
    </row>
    <row r="63" spans="1:8">
      <c r="A63" s="5" t="s">
        <v>100</v>
      </c>
      <c r="B63" s="5" t="s">
        <v>49</v>
      </c>
      <c r="C63" s="5"/>
      <c r="D63" s="5"/>
      <c r="E63" s="5"/>
      <c r="F63" s="5"/>
      <c r="G63" s="5"/>
      <c r="H63" s="5"/>
    </row>
    <row r="64" spans="1:8">
      <c r="A64" s="4" t="s">
        <v>100</v>
      </c>
      <c r="B64" s="4" t="s">
        <v>52</v>
      </c>
      <c r="C64" s="4"/>
      <c r="D64" s="4"/>
      <c r="E64" s="4"/>
      <c r="F64" s="4"/>
      <c r="G64" s="4"/>
      <c r="H64" s="8"/>
    </row>
    <row r="65" spans="1:8">
      <c r="A65" s="5" t="s">
        <v>100</v>
      </c>
      <c r="B65" s="5" t="s">
        <v>55</v>
      </c>
      <c r="C65" s="5"/>
      <c r="D65" s="5"/>
      <c r="E65" s="5"/>
      <c r="F65" s="5"/>
      <c r="G65" s="5"/>
      <c r="H65" s="5"/>
    </row>
    <row r="66" spans="1:8">
      <c r="A66" s="4" t="s">
        <v>100</v>
      </c>
      <c r="B66" s="4" t="s">
        <v>56</v>
      </c>
      <c r="C66" s="4"/>
      <c r="D66" s="4"/>
      <c r="E66" s="4"/>
      <c r="F66" s="4"/>
      <c r="G66" s="4"/>
      <c r="H66" s="8"/>
    </row>
    <row r="67" spans="1:8">
      <c r="A67" s="5" t="s">
        <v>103</v>
      </c>
      <c r="B67" s="5" t="s">
        <v>44</v>
      </c>
      <c r="C67" s="5">
        <v>18</v>
      </c>
      <c r="D67" s="5"/>
      <c r="E67" s="5" t="s">
        <v>104</v>
      </c>
      <c r="F67" s="5" t="s">
        <v>172</v>
      </c>
      <c r="G67" s="8"/>
      <c r="H67" s="8"/>
    </row>
    <row r="68" spans="1:8">
      <c r="A68" s="4" t="s">
        <v>103</v>
      </c>
      <c r="B68" s="4" t="s">
        <v>49</v>
      </c>
      <c r="C68" s="4"/>
      <c r="D68" s="4"/>
      <c r="E68" s="4"/>
      <c r="F68" s="4"/>
      <c r="G68" s="4"/>
      <c r="H68" s="4"/>
    </row>
    <row r="69" spans="1:8">
      <c r="A69" s="5" t="s">
        <v>103</v>
      </c>
      <c r="B69" s="5" t="s">
        <v>52</v>
      </c>
      <c r="C69" s="5"/>
      <c r="D69" s="5"/>
      <c r="E69" s="5"/>
      <c r="F69" s="5"/>
      <c r="G69" s="5"/>
      <c r="H69" s="8"/>
    </row>
    <row r="70" spans="1:8">
      <c r="A70" s="4" t="s">
        <v>103</v>
      </c>
      <c r="B70" s="4" t="s">
        <v>55</v>
      </c>
      <c r="C70" s="4"/>
      <c r="D70" s="4"/>
      <c r="E70" s="4"/>
      <c r="F70" s="4"/>
      <c r="G70" s="4"/>
      <c r="H70" s="4"/>
    </row>
    <row r="71" spans="1:8">
      <c r="A71" s="5" t="s">
        <v>103</v>
      </c>
      <c r="B71" s="5" t="s">
        <v>56</v>
      </c>
      <c r="C71" s="5"/>
      <c r="D71" s="5"/>
      <c r="E71" s="5"/>
      <c r="F71" s="5"/>
      <c r="G71" s="5"/>
      <c r="H71" s="5"/>
    </row>
    <row r="72" spans="1:8">
      <c r="A72" s="4" t="s">
        <v>106</v>
      </c>
      <c r="B72" s="4" t="s">
        <v>44</v>
      </c>
      <c r="C72" s="4">
        <v>17</v>
      </c>
      <c r="D72" s="4"/>
      <c r="E72" s="4" t="s">
        <v>108</v>
      </c>
      <c r="F72" s="4" t="s">
        <v>172</v>
      </c>
      <c r="G72" s="8"/>
      <c r="H72" s="8"/>
    </row>
    <row r="73" spans="1:8">
      <c r="A73" s="5" t="s">
        <v>106</v>
      </c>
      <c r="B73" s="5" t="s">
        <v>49</v>
      </c>
      <c r="C73" s="5"/>
      <c r="D73" s="5"/>
      <c r="E73" s="5"/>
      <c r="F73" s="5"/>
      <c r="G73" s="5"/>
      <c r="H73" s="5"/>
    </row>
    <row r="74" spans="1:8">
      <c r="A74" s="4" t="s">
        <v>106</v>
      </c>
      <c r="B74" s="4" t="s">
        <v>52</v>
      </c>
      <c r="C74" s="4"/>
      <c r="D74" s="4"/>
      <c r="E74" s="4"/>
      <c r="F74" s="4"/>
      <c r="G74" s="4"/>
      <c r="H74" s="8"/>
    </row>
    <row r="75" spans="1:8">
      <c r="A75" s="5" t="s">
        <v>106</v>
      </c>
      <c r="B75" s="5" t="s">
        <v>55</v>
      </c>
      <c r="C75" s="5"/>
      <c r="D75" s="5"/>
      <c r="E75" s="5"/>
      <c r="F75" s="5"/>
      <c r="G75" s="5"/>
      <c r="H75" s="8"/>
    </row>
    <row r="76" spans="1:8">
      <c r="A76" s="4" t="s">
        <v>106</v>
      </c>
      <c r="B76" s="4" t="s">
        <v>56</v>
      </c>
      <c r="C76" s="4"/>
      <c r="D76" s="4"/>
      <c r="E76" s="4"/>
      <c r="F76" s="4"/>
      <c r="G76" s="4"/>
      <c r="H76" s="8"/>
    </row>
    <row r="77" spans="1:8">
      <c r="A77" s="5" t="s">
        <v>110</v>
      </c>
      <c r="B77" s="5" t="s">
        <v>44</v>
      </c>
      <c r="C77" s="5">
        <v>14</v>
      </c>
      <c r="D77" s="5"/>
      <c r="E77" s="5" t="s">
        <v>112</v>
      </c>
      <c r="F77" s="5" t="s">
        <v>172</v>
      </c>
      <c r="G77" s="8"/>
      <c r="H77" s="8"/>
    </row>
    <row r="78" spans="1:8">
      <c r="A78" s="4" t="s">
        <v>110</v>
      </c>
      <c r="B78" s="4" t="s">
        <v>49</v>
      </c>
      <c r="C78" s="4"/>
      <c r="D78" s="4"/>
      <c r="E78" s="4"/>
      <c r="F78" s="4"/>
      <c r="G78" s="4"/>
      <c r="H78" s="4"/>
    </row>
    <row r="79" spans="1:8">
      <c r="A79" s="5" t="s">
        <v>110</v>
      </c>
      <c r="B79" s="5" t="s">
        <v>52</v>
      </c>
      <c r="C79" s="5"/>
      <c r="D79" s="5"/>
      <c r="E79" s="5"/>
      <c r="F79" s="5"/>
      <c r="G79" s="5"/>
      <c r="H79" s="8"/>
    </row>
    <row r="80" spans="1:8">
      <c r="A80" s="4" t="s">
        <v>110</v>
      </c>
      <c r="B80" s="4" t="s">
        <v>55</v>
      </c>
      <c r="C80" s="4"/>
      <c r="D80" s="4"/>
      <c r="E80" s="4"/>
      <c r="F80" s="4"/>
      <c r="G80" s="4"/>
      <c r="H80" s="4"/>
    </row>
    <row r="81" spans="1:8">
      <c r="A81" s="5" t="s">
        <v>110</v>
      </c>
      <c r="B81" s="5" t="s">
        <v>56</v>
      </c>
      <c r="C81" s="5"/>
      <c r="D81" s="5"/>
      <c r="E81" s="5"/>
      <c r="F81" s="5"/>
      <c r="G81" s="5"/>
      <c r="H81" s="8"/>
    </row>
    <row r="82" spans="1:8">
      <c r="A82" s="4" t="s">
        <v>114</v>
      </c>
      <c r="B82" s="4" t="s">
        <v>44</v>
      </c>
      <c r="C82" s="4">
        <v>20</v>
      </c>
      <c r="D82" s="4"/>
      <c r="E82" s="4" t="s">
        <v>115</v>
      </c>
      <c r="F82" s="4" t="s">
        <v>172</v>
      </c>
      <c r="G82" s="8"/>
      <c r="H82" s="8"/>
    </row>
    <row r="83" spans="1:8">
      <c r="A83" s="5" t="s">
        <v>114</v>
      </c>
      <c r="B83" s="5" t="s">
        <v>49</v>
      </c>
      <c r="C83" s="5"/>
      <c r="D83" s="5"/>
      <c r="E83" s="5"/>
      <c r="F83" s="5"/>
      <c r="G83" s="5"/>
      <c r="H83" s="5"/>
    </row>
    <row r="84" spans="1:8">
      <c r="A84" s="4" t="s">
        <v>114</v>
      </c>
      <c r="B84" s="4" t="s">
        <v>52</v>
      </c>
      <c r="C84" s="4"/>
      <c r="D84" s="4"/>
      <c r="E84" s="4"/>
      <c r="F84" s="4"/>
      <c r="G84" s="4"/>
      <c r="H84" s="8"/>
    </row>
    <row r="85" spans="1:8">
      <c r="A85" s="5" t="s">
        <v>114</v>
      </c>
      <c r="B85" s="5" t="s">
        <v>55</v>
      </c>
      <c r="C85" s="5"/>
      <c r="D85" s="5"/>
      <c r="E85" s="5"/>
      <c r="F85" s="5"/>
      <c r="G85" s="5"/>
      <c r="H85" s="5"/>
    </row>
    <row r="86" spans="1:8">
      <c r="A86" s="4" t="s">
        <v>114</v>
      </c>
      <c r="B86" s="4" t="s">
        <v>56</v>
      </c>
      <c r="C86" s="4"/>
      <c r="D86" s="4"/>
      <c r="E86" s="4"/>
      <c r="F86" s="4"/>
      <c r="G86" s="4"/>
      <c r="H86" s="8"/>
    </row>
    <row r="87" spans="1:8">
      <c r="A87" s="5" t="s">
        <v>116</v>
      </c>
      <c r="B87" s="5" t="s">
        <v>44</v>
      </c>
      <c r="C87" s="5">
        <v>22</v>
      </c>
      <c r="D87" s="5" t="s">
        <v>174</v>
      </c>
      <c r="E87" s="5" t="s">
        <v>117</v>
      </c>
      <c r="F87" s="5" t="s">
        <v>173</v>
      </c>
      <c r="G87" s="8"/>
      <c r="H87" s="8"/>
    </row>
    <row r="88" spans="1:8">
      <c r="A88" s="4" t="s">
        <v>116</v>
      </c>
      <c r="B88" s="4" t="s">
        <v>49</v>
      </c>
      <c r="C88" s="4"/>
      <c r="D88" s="4"/>
      <c r="E88" s="4"/>
      <c r="F88" s="4"/>
      <c r="G88" s="4"/>
      <c r="H88" s="8"/>
    </row>
    <row r="89" spans="1:8">
      <c r="A89" s="5" t="s">
        <v>116</v>
      </c>
      <c r="B89" s="5" t="s">
        <v>52</v>
      </c>
      <c r="C89" s="5"/>
      <c r="D89" s="5"/>
      <c r="E89" s="5"/>
      <c r="F89" s="5"/>
      <c r="G89" s="5"/>
      <c r="H89" s="8"/>
    </row>
    <row r="90" spans="1:8">
      <c r="A90" s="4" t="s">
        <v>116</v>
      </c>
      <c r="B90" s="4" t="s">
        <v>55</v>
      </c>
      <c r="C90" s="4"/>
      <c r="D90" s="4"/>
      <c r="E90" s="4"/>
      <c r="F90" s="4"/>
      <c r="G90" s="4"/>
      <c r="H90" s="8"/>
    </row>
    <row r="91" spans="1:8">
      <c r="A91" s="5" t="s">
        <v>116</v>
      </c>
      <c r="B91" s="5" t="s">
        <v>56</v>
      </c>
      <c r="C91" s="5"/>
      <c r="D91" s="5"/>
      <c r="E91" s="5"/>
      <c r="F91" s="5"/>
      <c r="G91" s="5"/>
      <c r="H91" s="8"/>
    </row>
    <row r="92" spans="1:8">
      <c r="A92" s="4" t="s">
        <v>118</v>
      </c>
      <c r="B92" s="4" t="s">
        <v>44</v>
      </c>
      <c r="C92" s="4">
        <v>23</v>
      </c>
      <c r="D92" s="4"/>
      <c r="E92" s="4" t="s">
        <v>121</v>
      </c>
      <c r="F92" s="4" t="s">
        <v>173</v>
      </c>
      <c r="G92" s="8"/>
      <c r="H92" s="4"/>
    </row>
    <row r="93" spans="1:8">
      <c r="A93" s="5" t="s">
        <v>118</v>
      </c>
      <c r="B93" s="5" t="s">
        <v>49</v>
      </c>
      <c r="C93" s="5"/>
      <c r="D93" s="5"/>
      <c r="E93" s="5"/>
      <c r="F93" s="5"/>
      <c r="G93" s="5"/>
      <c r="H93" s="5"/>
    </row>
    <row r="94" spans="1:8">
      <c r="A94" s="4" t="s">
        <v>118</v>
      </c>
      <c r="B94" s="4" t="s">
        <v>52</v>
      </c>
      <c r="C94" s="4"/>
      <c r="D94" s="4"/>
      <c r="E94" s="4"/>
      <c r="F94" s="4"/>
      <c r="G94" s="4"/>
      <c r="H94" s="4"/>
    </row>
    <row r="95" spans="1:8">
      <c r="A95" s="5" t="s">
        <v>118</v>
      </c>
      <c r="B95" s="5" t="s">
        <v>55</v>
      </c>
      <c r="C95" s="5"/>
      <c r="D95" s="5"/>
      <c r="E95" s="5"/>
      <c r="F95" s="5"/>
      <c r="G95" s="5"/>
      <c r="H95" s="5"/>
    </row>
    <row r="96" spans="1:8">
      <c r="A96" s="4" t="s">
        <v>118</v>
      </c>
      <c r="B96" s="4" t="s">
        <v>56</v>
      </c>
      <c r="C96" s="4"/>
      <c r="D96" s="4"/>
      <c r="E96" s="4"/>
      <c r="F96" s="4"/>
      <c r="G96" s="4"/>
      <c r="H96" s="4"/>
    </row>
    <row r="97" spans="1:8">
      <c r="A97" s="5" t="s">
        <v>122</v>
      </c>
      <c r="B97" s="5" t="s">
        <v>44</v>
      </c>
      <c r="C97" s="5">
        <v>19</v>
      </c>
      <c r="D97" s="5" t="s">
        <v>175</v>
      </c>
      <c r="E97" s="5" t="s">
        <v>124</v>
      </c>
      <c r="F97" s="5" t="s">
        <v>173</v>
      </c>
      <c r="G97" s="8" t="s">
        <v>65</v>
      </c>
      <c r="H97" s="5" t="s">
        <v>85</v>
      </c>
    </row>
    <row r="98" spans="1:8">
      <c r="A98" s="4" t="s">
        <v>122</v>
      </c>
      <c r="B98" s="4" t="s">
        <v>49</v>
      </c>
      <c r="C98" s="4"/>
      <c r="D98" s="4"/>
      <c r="E98" s="4"/>
      <c r="F98" s="4"/>
      <c r="G98" s="4"/>
      <c r="H98" s="4"/>
    </row>
    <row r="99" spans="1:8">
      <c r="A99" s="5" t="s">
        <v>122</v>
      </c>
      <c r="B99" s="5" t="s">
        <v>52</v>
      </c>
      <c r="C99" s="5"/>
      <c r="D99" s="5"/>
      <c r="E99" s="5"/>
      <c r="F99" s="5"/>
      <c r="G99" s="5"/>
      <c r="H99" s="5"/>
    </row>
    <row r="100" spans="1:8">
      <c r="A100" s="4" t="s">
        <v>122</v>
      </c>
      <c r="B100" s="4" t="s">
        <v>55</v>
      </c>
      <c r="C100" s="4"/>
      <c r="D100" s="4"/>
      <c r="E100" s="4"/>
      <c r="F100" s="4"/>
      <c r="G100" s="4"/>
      <c r="H100" s="4"/>
    </row>
    <row r="101" spans="1:8">
      <c r="A101" s="5" t="s">
        <v>122</v>
      </c>
      <c r="B101" s="5" t="s">
        <v>56</v>
      </c>
      <c r="C101" s="5"/>
      <c r="D101" s="5"/>
      <c r="E101" s="5"/>
      <c r="F101" s="5"/>
      <c r="G101" s="5"/>
      <c r="H101" s="5"/>
    </row>
    <row r="102" spans="1:8">
      <c r="A102" s="4" t="s">
        <v>125</v>
      </c>
      <c r="B102" s="4" t="s">
        <v>44</v>
      </c>
      <c r="C102" s="4">
        <v>17</v>
      </c>
      <c r="D102" s="4"/>
      <c r="E102" s="4" t="s">
        <v>127</v>
      </c>
      <c r="F102" s="4" t="s">
        <v>173</v>
      </c>
      <c r="G102" s="4"/>
      <c r="H102" s="8"/>
    </row>
    <row r="103" spans="1:8">
      <c r="A103" s="5" t="s">
        <v>125</v>
      </c>
      <c r="B103" s="5" t="s">
        <v>49</v>
      </c>
      <c r="C103" s="5"/>
      <c r="D103" s="5"/>
      <c r="E103" s="5"/>
      <c r="F103" s="5"/>
      <c r="G103" s="5"/>
      <c r="H103" s="5"/>
    </row>
    <row r="104" spans="1:8">
      <c r="A104" s="4" t="s">
        <v>125</v>
      </c>
      <c r="B104" s="4" t="s">
        <v>52</v>
      </c>
      <c r="C104" s="4"/>
      <c r="D104" s="4"/>
      <c r="E104" s="4"/>
      <c r="F104" s="4"/>
      <c r="G104" s="4"/>
      <c r="H104" s="4"/>
    </row>
    <row r="105" spans="1:8">
      <c r="A105" s="5" t="s">
        <v>125</v>
      </c>
      <c r="B105" s="5" t="s">
        <v>55</v>
      </c>
      <c r="C105" s="5"/>
      <c r="D105" s="5"/>
      <c r="E105" s="5"/>
      <c r="F105" s="5"/>
      <c r="G105" s="5"/>
      <c r="H105" s="5"/>
    </row>
    <row r="106" spans="1:8">
      <c r="A106" s="4" t="s">
        <v>125</v>
      </c>
      <c r="B106" s="4" t="s">
        <v>56</v>
      </c>
      <c r="C106" s="4"/>
      <c r="D106" s="4"/>
      <c r="E106" s="4"/>
      <c r="F106" s="4"/>
      <c r="G106" s="4"/>
      <c r="H106" s="4"/>
    </row>
    <row r="107" spans="1:8">
      <c r="A107" s="5" t="s">
        <v>128</v>
      </c>
      <c r="B107" s="5" t="s">
        <v>44</v>
      </c>
      <c r="C107" s="5">
        <v>19</v>
      </c>
      <c r="D107" s="5" t="s">
        <v>176</v>
      </c>
      <c r="E107" s="5" t="s">
        <v>130</v>
      </c>
      <c r="F107" s="5" t="s">
        <v>173</v>
      </c>
      <c r="G107" s="5" t="s">
        <v>65</v>
      </c>
      <c r="H107" s="8" t="s">
        <v>85</v>
      </c>
    </row>
    <row r="108" spans="1:8">
      <c r="A108" s="4" t="s">
        <v>128</v>
      </c>
      <c r="B108" s="4" t="s">
        <v>49</v>
      </c>
      <c r="C108" s="4"/>
      <c r="D108" s="4"/>
      <c r="E108" s="4"/>
      <c r="F108" s="4"/>
      <c r="G108" s="4"/>
      <c r="H108" s="4"/>
    </row>
    <row r="109" spans="1:8">
      <c r="A109" s="5" t="s">
        <v>128</v>
      </c>
      <c r="B109" s="5" t="s">
        <v>52</v>
      </c>
      <c r="C109" s="5"/>
      <c r="D109" s="5"/>
      <c r="E109" s="5"/>
      <c r="F109" s="5"/>
      <c r="G109" s="5"/>
      <c r="H109" s="5"/>
    </row>
    <row r="110" spans="1:8">
      <c r="A110" s="4" t="s">
        <v>128</v>
      </c>
      <c r="B110" s="4" t="s">
        <v>55</v>
      </c>
      <c r="C110" s="4"/>
      <c r="D110" s="4"/>
      <c r="E110" s="4"/>
      <c r="F110" s="4"/>
      <c r="G110" s="4"/>
      <c r="H110" s="4"/>
    </row>
    <row r="111" spans="1:8">
      <c r="A111" s="5" t="s">
        <v>128</v>
      </c>
      <c r="B111" s="5" t="s">
        <v>56</v>
      </c>
      <c r="C111" s="5"/>
      <c r="D111" s="5"/>
      <c r="E111" s="5"/>
      <c r="F111" s="5"/>
      <c r="G111" s="5"/>
      <c r="H111" s="5"/>
    </row>
    <row r="112" spans="1:8">
      <c r="A112" s="4" t="s">
        <v>131</v>
      </c>
      <c r="B112" s="4" t="s">
        <v>44</v>
      </c>
      <c r="C112" s="4">
        <v>20</v>
      </c>
      <c r="D112" s="4" t="s">
        <v>177</v>
      </c>
      <c r="E112" s="4" t="s">
        <v>133</v>
      </c>
      <c r="F112" s="4" t="s">
        <v>173</v>
      </c>
      <c r="G112" s="8" t="s">
        <v>65</v>
      </c>
      <c r="H112" s="8" t="s">
        <v>85</v>
      </c>
    </row>
    <row r="113" spans="1:8">
      <c r="A113" s="5" t="s">
        <v>131</v>
      </c>
      <c r="B113" s="5" t="s">
        <v>49</v>
      </c>
      <c r="C113" s="5"/>
      <c r="D113" s="5"/>
      <c r="E113" s="5"/>
      <c r="F113" s="5"/>
      <c r="G113" s="5"/>
      <c r="H113" s="8"/>
    </row>
    <row r="114" spans="1:8">
      <c r="A114" s="4" t="s">
        <v>131</v>
      </c>
      <c r="B114" s="4" t="s">
        <v>52</v>
      </c>
      <c r="C114" s="4"/>
      <c r="D114" s="4"/>
      <c r="E114" s="4"/>
      <c r="F114" s="4"/>
      <c r="G114" s="4"/>
      <c r="H114" s="8"/>
    </row>
    <row r="115" spans="1:8">
      <c r="A115" s="5" t="s">
        <v>131</v>
      </c>
      <c r="B115" s="5" t="s">
        <v>55</v>
      </c>
      <c r="C115" s="5"/>
      <c r="D115" s="5"/>
      <c r="E115" s="5"/>
      <c r="F115" s="5"/>
      <c r="G115" s="5"/>
      <c r="H115" s="8"/>
    </row>
    <row r="116" spans="1:8">
      <c r="A116" s="4" t="s">
        <v>131</v>
      </c>
      <c r="B116" s="4" t="s">
        <v>56</v>
      </c>
      <c r="C116" s="4"/>
      <c r="D116" s="4"/>
      <c r="E116" s="4"/>
      <c r="F116" s="4"/>
      <c r="G116" s="4"/>
      <c r="H116" s="4"/>
    </row>
    <row r="117" spans="1:8">
      <c r="A117" s="5" t="s">
        <v>134</v>
      </c>
      <c r="B117" s="5" t="s">
        <v>44</v>
      </c>
      <c r="C117" s="5">
        <v>21</v>
      </c>
      <c r="D117" s="5"/>
      <c r="E117" s="5" t="s">
        <v>136</v>
      </c>
      <c r="F117" s="5" t="s">
        <v>173</v>
      </c>
      <c r="G117" s="8"/>
      <c r="H117" s="8"/>
    </row>
    <row r="118" spans="1:8">
      <c r="A118" s="4" t="s">
        <v>134</v>
      </c>
      <c r="B118" s="4" t="s">
        <v>49</v>
      </c>
      <c r="C118" s="4"/>
      <c r="D118" s="4"/>
      <c r="E118" s="4"/>
      <c r="F118" s="4"/>
      <c r="G118" s="4"/>
      <c r="H118" s="8"/>
    </row>
    <row r="119" spans="1:8">
      <c r="A119" s="5" t="s">
        <v>134</v>
      </c>
      <c r="B119" s="5" t="s">
        <v>52</v>
      </c>
      <c r="C119" s="5"/>
      <c r="D119" s="5"/>
      <c r="E119" s="5"/>
      <c r="F119" s="5"/>
      <c r="G119" s="5"/>
      <c r="H119" s="8"/>
    </row>
    <row r="120" spans="1:8">
      <c r="A120" s="4" t="s">
        <v>134</v>
      </c>
      <c r="B120" s="4" t="s">
        <v>55</v>
      </c>
      <c r="C120" s="4"/>
      <c r="D120" s="4"/>
      <c r="E120" s="4"/>
      <c r="F120" s="4"/>
      <c r="G120" s="4"/>
      <c r="H120" s="8"/>
    </row>
    <row r="121" spans="1:8">
      <c r="A121" s="5" t="s">
        <v>134</v>
      </c>
      <c r="B121" s="5" t="s">
        <v>56</v>
      </c>
      <c r="C121" s="5"/>
      <c r="D121" s="5"/>
      <c r="E121" s="5"/>
      <c r="F121" s="5"/>
      <c r="G121" s="5"/>
      <c r="H121" s="5"/>
    </row>
    <row r="122" spans="1:8">
      <c r="A122" s="4" t="s">
        <v>137</v>
      </c>
      <c r="B122" s="4" t="s">
        <v>44</v>
      </c>
      <c r="C122" s="4">
        <v>22</v>
      </c>
      <c r="D122" s="4"/>
      <c r="E122" s="4" t="s">
        <v>139</v>
      </c>
      <c r="F122" s="4" t="s">
        <v>173</v>
      </c>
      <c r="G122" s="8"/>
      <c r="H122" s="8"/>
    </row>
    <row r="123" spans="1:8">
      <c r="A123" s="5" t="s">
        <v>137</v>
      </c>
      <c r="B123" s="5" t="s">
        <v>49</v>
      </c>
      <c r="C123" s="5"/>
      <c r="D123" s="5"/>
      <c r="E123" s="5"/>
      <c r="F123" s="5"/>
      <c r="G123" s="5"/>
      <c r="H123" s="8"/>
    </row>
    <row r="124" spans="1:8">
      <c r="A124" s="4" t="s">
        <v>137</v>
      </c>
      <c r="B124" s="4" t="s">
        <v>52</v>
      </c>
      <c r="C124" s="4"/>
      <c r="D124" s="4"/>
      <c r="E124" s="4"/>
      <c r="F124" s="4"/>
      <c r="G124" s="4"/>
      <c r="H124" s="8"/>
    </row>
    <row r="125" spans="1:8">
      <c r="A125" s="5" t="s">
        <v>137</v>
      </c>
      <c r="B125" s="5" t="s">
        <v>55</v>
      </c>
      <c r="C125" s="5"/>
      <c r="D125" s="5"/>
      <c r="E125" s="5"/>
      <c r="F125" s="5"/>
      <c r="G125" s="5"/>
      <c r="H125" s="8"/>
    </row>
    <row r="126" spans="1:8">
      <c r="A126" s="4" t="s">
        <v>137</v>
      </c>
      <c r="B126" s="4" t="s">
        <v>56</v>
      </c>
      <c r="C126" s="4"/>
      <c r="D126" s="4"/>
      <c r="E126" s="4"/>
      <c r="F126" s="4"/>
      <c r="G126" s="4"/>
      <c r="H126" s="8"/>
    </row>
    <row r="127" spans="1:8">
      <c r="A127" s="5" t="s">
        <v>140</v>
      </c>
      <c r="B127" s="5" t="s">
        <v>44</v>
      </c>
      <c r="C127" s="5">
        <v>20</v>
      </c>
      <c r="D127" s="5"/>
      <c r="E127" s="5" t="s">
        <v>142</v>
      </c>
      <c r="F127" s="5" t="s">
        <v>173</v>
      </c>
      <c r="G127" s="8"/>
      <c r="H127" s="8"/>
    </row>
    <row r="128" spans="1:8">
      <c r="A128" s="4" t="s">
        <v>140</v>
      </c>
      <c r="B128" s="4" t="s">
        <v>49</v>
      </c>
      <c r="C128" s="4"/>
      <c r="D128" s="4"/>
      <c r="E128" s="4"/>
      <c r="F128" s="4"/>
      <c r="G128" s="4"/>
      <c r="H128" s="8"/>
    </row>
    <row r="129" spans="1:8">
      <c r="A129" s="5" t="s">
        <v>140</v>
      </c>
      <c r="B129" s="5" t="s">
        <v>52</v>
      </c>
      <c r="C129" s="5"/>
      <c r="D129" s="5"/>
      <c r="E129" s="5"/>
      <c r="F129" s="5"/>
      <c r="G129" s="5"/>
      <c r="H129" s="8"/>
    </row>
    <row r="130" spans="1:8">
      <c r="A130" s="4" t="s">
        <v>140</v>
      </c>
      <c r="B130" s="4" t="s">
        <v>55</v>
      </c>
      <c r="C130" s="4"/>
      <c r="D130" s="4"/>
      <c r="E130" s="4"/>
      <c r="F130" s="4"/>
      <c r="G130" s="4"/>
      <c r="H130" s="8"/>
    </row>
    <row r="131" spans="1:8">
      <c r="A131" s="5" t="s">
        <v>140</v>
      </c>
      <c r="B131" s="5" t="s">
        <v>56</v>
      </c>
      <c r="C131" s="5"/>
      <c r="D131" s="5"/>
      <c r="E131" s="5"/>
      <c r="F131" s="5"/>
      <c r="G131" s="5"/>
      <c r="H131" s="8"/>
    </row>
    <row r="132" spans="1:8">
      <c r="A132" s="4" t="s">
        <v>143</v>
      </c>
      <c r="B132" s="4" t="s">
        <v>44</v>
      </c>
      <c r="C132" s="4">
        <v>17</v>
      </c>
      <c r="D132" s="4"/>
      <c r="E132" s="4" t="s">
        <v>145</v>
      </c>
      <c r="F132" s="4" t="s">
        <v>173</v>
      </c>
      <c r="G132" s="8"/>
      <c r="H132" s="8"/>
    </row>
    <row r="133" spans="1:8">
      <c r="A133" s="5" t="s">
        <v>143</v>
      </c>
      <c r="B133" s="5" t="s">
        <v>49</v>
      </c>
      <c r="C133" s="5"/>
      <c r="D133" s="5"/>
      <c r="E133" s="5"/>
      <c r="F133" s="5"/>
      <c r="G133" s="5"/>
      <c r="H133" s="5"/>
    </row>
    <row r="134" spans="1:8">
      <c r="A134" s="4" t="s">
        <v>143</v>
      </c>
      <c r="B134" s="4" t="s">
        <v>52</v>
      </c>
      <c r="C134" s="4"/>
      <c r="D134" s="4"/>
      <c r="E134" s="4"/>
      <c r="F134" s="4"/>
      <c r="G134" s="4"/>
      <c r="H134" s="8"/>
    </row>
    <row r="135" spans="1:8">
      <c r="A135" s="5" t="s">
        <v>143</v>
      </c>
      <c r="B135" s="5" t="s">
        <v>55</v>
      </c>
      <c r="C135" s="5"/>
      <c r="D135" s="5"/>
      <c r="E135" s="5"/>
      <c r="F135" s="5"/>
      <c r="G135" s="5"/>
      <c r="H135" s="5"/>
    </row>
    <row r="136" spans="1:8">
      <c r="A136" s="4" t="s">
        <v>143</v>
      </c>
      <c r="B136" s="4" t="s">
        <v>56</v>
      </c>
      <c r="C136" s="4"/>
      <c r="D136" s="4"/>
      <c r="E136" s="4"/>
      <c r="F136" s="4"/>
      <c r="G136" s="4"/>
      <c r="H136" s="8"/>
    </row>
    <row r="137" spans="1:8">
      <c r="A137" s="5" t="s">
        <v>146</v>
      </c>
      <c r="B137" s="5" t="s">
        <v>44</v>
      </c>
      <c r="C137" s="5">
        <v>20</v>
      </c>
      <c r="D137" s="5"/>
      <c r="E137" s="5" t="s">
        <v>148</v>
      </c>
      <c r="F137" s="5" t="s">
        <v>173</v>
      </c>
      <c r="G137" s="8"/>
      <c r="H137" s="8"/>
    </row>
    <row r="138" spans="1:8">
      <c r="A138" s="4" t="s">
        <v>146</v>
      </c>
      <c r="B138" s="4" t="s">
        <v>49</v>
      </c>
      <c r="C138" s="4"/>
      <c r="D138" s="4"/>
      <c r="E138" s="4"/>
      <c r="F138" s="4"/>
      <c r="G138" s="4"/>
      <c r="H138" s="8"/>
    </row>
    <row r="139" spans="1:8">
      <c r="A139" s="5" t="s">
        <v>146</v>
      </c>
      <c r="B139" s="5" t="s">
        <v>52</v>
      </c>
      <c r="C139" s="5"/>
      <c r="D139" s="5"/>
      <c r="E139" s="5"/>
      <c r="F139" s="5"/>
      <c r="G139" s="5"/>
      <c r="H139" s="8"/>
    </row>
    <row r="140" spans="1:8">
      <c r="A140" s="4" t="s">
        <v>146</v>
      </c>
      <c r="B140" s="4" t="s">
        <v>55</v>
      </c>
      <c r="C140" s="4"/>
      <c r="D140" s="4"/>
      <c r="E140" s="4"/>
      <c r="F140" s="4"/>
      <c r="G140" s="4"/>
      <c r="H140" s="4"/>
    </row>
    <row r="141" spans="1:8">
      <c r="A141" s="5" t="s">
        <v>146</v>
      </c>
      <c r="B141" s="5" t="s">
        <v>56</v>
      </c>
      <c r="C141" s="5"/>
      <c r="D141" s="5"/>
      <c r="E141" s="5"/>
      <c r="F141" s="5"/>
      <c r="G141" s="5"/>
      <c r="H141" s="8"/>
    </row>
    <row r="142" spans="1:8">
      <c r="A142" s="4" t="s">
        <v>149</v>
      </c>
      <c r="B142" s="4" t="s">
        <v>44</v>
      </c>
      <c r="C142" s="4">
        <v>25</v>
      </c>
      <c r="D142" s="4"/>
      <c r="E142" s="4" t="s">
        <v>151</v>
      </c>
      <c r="F142" s="4" t="s">
        <v>173</v>
      </c>
      <c r="G142" s="8"/>
      <c r="H142" s="8"/>
    </row>
    <row r="143" spans="1:8">
      <c r="A143" s="5" t="s">
        <v>149</v>
      </c>
      <c r="B143" s="5" t="s">
        <v>49</v>
      </c>
      <c r="C143" s="5"/>
      <c r="D143" s="5"/>
      <c r="E143" s="5"/>
      <c r="F143" s="5"/>
      <c r="G143" s="5"/>
      <c r="H143" s="8"/>
    </row>
    <row r="144" spans="1:8">
      <c r="A144" s="4" t="s">
        <v>149</v>
      </c>
      <c r="B144" s="4" t="s">
        <v>52</v>
      </c>
      <c r="C144" s="4"/>
      <c r="D144" s="4"/>
      <c r="E144" s="4"/>
      <c r="F144" s="4"/>
      <c r="G144" s="4"/>
      <c r="H144" s="8"/>
    </row>
    <row r="145" spans="1:8">
      <c r="A145" s="5" t="s">
        <v>149</v>
      </c>
      <c r="B145" s="5" t="s">
        <v>55</v>
      </c>
      <c r="C145" s="5"/>
      <c r="D145" s="5"/>
      <c r="E145" s="5"/>
      <c r="F145" s="5"/>
      <c r="G145" s="5"/>
      <c r="H145" s="8"/>
    </row>
    <row r="146" spans="1:8">
      <c r="A146" s="4" t="s">
        <v>149</v>
      </c>
      <c r="B146" s="4" t="s">
        <v>56</v>
      </c>
      <c r="C146" s="4"/>
      <c r="D146" s="4"/>
      <c r="E146" s="4"/>
      <c r="F146" s="4"/>
      <c r="G146" s="4"/>
      <c r="H146" s="8"/>
    </row>
    <row r="147" spans="1:8">
      <c r="A147" s="5" t="s">
        <v>152</v>
      </c>
      <c r="B147" s="5" t="s">
        <v>44</v>
      </c>
      <c r="C147" s="5">
        <v>13</v>
      </c>
      <c r="D147" s="5" t="s">
        <v>153</v>
      </c>
      <c r="E147" s="5" t="s">
        <v>154</v>
      </c>
      <c r="F147" s="5" t="s">
        <v>173</v>
      </c>
      <c r="G147" s="8"/>
      <c r="H147" s="8"/>
    </row>
    <row r="148" spans="1:8">
      <c r="A148" s="4" t="s">
        <v>152</v>
      </c>
      <c r="B148" s="4" t="s">
        <v>49</v>
      </c>
      <c r="C148" s="4"/>
      <c r="D148" s="4"/>
      <c r="E148" s="4"/>
      <c r="F148" s="4"/>
      <c r="G148" s="4"/>
      <c r="H148" s="8"/>
    </row>
    <row r="149" spans="1:8">
      <c r="A149" s="5" t="s">
        <v>152</v>
      </c>
      <c r="B149" s="5" t="s">
        <v>52</v>
      </c>
      <c r="C149" s="5"/>
      <c r="D149" s="5"/>
      <c r="E149" s="5"/>
      <c r="F149" s="5"/>
      <c r="G149" s="5"/>
      <c r="H149" s="8"/>
    </row>
    <row r="150" spans="1:8">
      <c r="A150" s="4" t="s">
        <v>152</v>
      </c>
      <c r="B150" s="4" t="s">
        <v>55</v>
      </c>
      <c r="C150" s="4"/>
      <c r="D150" s="4"/>
      <c r="E150" s="4"/>
      <c r="F150" s="4"/>
      <c r="G150" s="4"/>
      <c r="H150" s="8"/>
    </row>
    <row r="151" spans="1:8">
      <c r="A151" s="5" t="s">
        <v>152</v>
      </c>
      <c r="B151" s="5" t="s">
        <v>56</v>
      </c>
      <c r="C151" s="5"/>
      <c r="D151" s="5"/>
      <c r="E151" s="5"/>
      <c r="F151" s="5"/>
      <c r="G151" s="5"/>
      <c r="H151" s="8"/>
    </row>
  </sheetData>
  <phoneticPr fontId="4"/>
  <conditionalFormatting sqref="G2:H166">
    <cfRule type="expression" dxfId="1" priority="1">
      <formula>G2&lt;&gt;""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21" hidden="0" customWidth="1"/>
    <x:col min="3" max="3" width="16" hidden="0" customWidth="1"/>
    <x:col min="4" max="4" width="26" hidden="0" customWidth="1"/>
    <x:col min="5" max="5" width="23" hidden="0" customWidth="1"/>
    <x:col min="6" max="6" width="23" hidden="0" customWidth="1"/>
    <x:col min="7" max="7" width="23" hidden="0" customWidth="1"/>
    <x:col min="8" max="8" width="31" hidden="0" customWidth="1"/>
    <x:col min="9" max="9" width="27" hidden="0" customWidth="1"/>
    <x:col min="10" max="10" width="25" hidden="0" customWidth="1"/>
    <x:col min="11" max="11" width="23" hidden="0" customWidth="1"/>
    <x:col min="12" max="12" width="15" hidden="0" customWidth="1"/>
    <x:col min="13" max="13" width="49" hidden="0" customWidth="1"/>
    <x:col min="14" max="14" width="14" hidden="0" customWidth="1"/>
    <x:col min="15" max="15" width="76" hidden="0" customWidth="1"/>
  </x:cols>
  <x:sheetData>
    <x:row r="1" ht="52" customHeight="1">
      <x:c r="A1" s="95" t="str">
        <x:v>研究番号</x:v>
      </x:c>
      <x:c r="B1" s="95" t="str">
        <x:v>時点（原票）</x:v>
      </x:c>
      <x:c r="C1" s="95" t="str">
        <x:v>評価日</x:v>
      </x:c>
      <x:c r="D1" s="95" t="str">
        <x:v>無関心・アパシー
有無（NPI項目7）</x:v>
      </x:c>
      <x:c r="E1" s="95" t="str">
        <x:v>易怒性
有無（NPI項目9）</x:v>
      </x:c>
      <x:c r="F1" s="95" t="str">
        <x:v>アパシー頻度 F
（原票・1～4）</x:v>
      </x:c>
      <x:c r="G1" s="95" t="str">
        <x:v>アパシー重症度 S
（原票・1～3）</x:v>
      </x:c>
      <x:c r="H1" s="95" t="str">
        <x:v>NPI-Apathy score
頻度 × 重症度（0～12）</x:v>
      </x:c>
      <x:c r="I1" s="95" t="str">
        <x:v>無関心・アパシー
1＝あり／0＝なし</x:v>
      </x:c>
      <x:c r="J1" s="95" t="str">
        <x:v>易怒性
1＝あり／0＝なし</x:v>
      </x:c>
      <x:c r="K1" s="95" t="str">
        <x:v>評価日（原票記載）</x:v>
      </x:c>
      <x:c r="L1" s="95" t="str">
        <x:v>原票注記</x:v>
      </x:c>
      <x:c r="M1" s="95" t="str">
        <x:v>情報源PDF</x:v>
      </x:c>
      <x:c r="N1" s="95" t="str">
        <x:v>PDFページ</x:v>
      </x:c>
      <x:c r="O1" s="95" t="str">
        <x:v>確認事項</x:v>
      </x:c>
    </x:row>
    <x:row r="2" ht="30" customHeight="1">
      <x:c r="A2" s="88" t="str">
        <x:v>D1</x:v>
      </x:c>
      <x:c r="B2" s="88" t="str">
        <x:v>初回</x:v>
      </x:c>
      <x:c r="C2" s="116" t="n">
        <x:v>46274</x:v>
      </x:c>
      <x:c r="D2" s="91" t="str">
        <x:v>あり</x:v>
      </x:c>
      <x:c r="E2" s="91" t="str">
        <x:v>あり</x:v>
      </x:c>
      <x:c r="F2" s="98" t="n">
        <x:v>2</x:v>
      </x:c>
      <x:c r="G2" s="98" t="n">
        <x:v>1</x:v>
      </x:c>
      <x:c r="H2" s="99" t="n">
        <x:f>IF(D2="なし",0,IF(AND(D2="あり",ISNUMBER(F2),ISNUMBER(G2)),F2*G2,""))</x:f>
        <x:v>2</x:v>
      </x:c>
      <x:c r="I2" s="98" t="n">
        <x:f>IF(D2="あり",1,IF(D2="なし",0,""))</x:f>
        <x:v>1</x:v>
      </x:c>
      <x:c r="J2" s="98" t="n">
        <x:f>IF(E2="あり",1,IF(E2="なし",0,""))</x:f>
        <x:v>1</x:v>
      </x:c>
      <x:c r="K2" s="91" t="str">
        <x:v>2026.9.9</x:v>
      </x:c>
      <x:c r="L2" s="91" t="str">
        <x:v>記載なし</x:v>
      </x:c>
      <x:c r="M2" s="88" t="str">
        <x:v>ドナネマブのNPI、9.18取り込み(1).pdf</x:v>
      </x:c>
      <x:c r="N2" s="88" t="n">
        <x:v>2</x:v>
      </x:c>
      <x:c r="O2" s="117" t="str">
        <x:v>原票の「初回」と治療開始時点との対応は要確認。</x:v>
      </x:c>
    </x:row>
    <x:row r="3" ht="30" customHeight="1">
      <x:c r="A3" s="89" t="str">
        <x:v>D2</x:v>
      </x:c>
      <x:c r="B3" s="89" t="str">
        <x:v>初回</x:v>
      </x:c>
      <x:c r="C3" s="118" t="n">
        <x:v>46275</x:v>
      </x:c>
      <x:c r="D3" s="92" t="str">
        <x:v>あり</x:v>
      </x:c>
      <x:c r="E3" s="92" t="str">
        <x:v>なし</x:v>
      </x:c>
      <x:c r="F3" s="101" t="n">
        <x:v>1</x:v>
      </x:c>
      <x:c r="G3" s="101" t="n">
        <x:v>1</x:v>
      </x:c>
      <x:c r="H3" s="102" t="n">
        <x:f>IF(D3="なし",0,IF(AND(D3="あり",ISNUMBER(F3),ISNUMBER(G3)),F3*G3,""))</x:f>
        <x:v>1</x:v>
      </x:c>
      <x:c r="I3" s="101" t="n">
        <x:f>IF(D3="あり",1,IF(D3="なし",0,""))</x:f>
        <x:v>1</x:v>
      </x:c>
      <x:c r="J3" s="101" t="n">
        <x:f>IF(E3="あり",1,IF(E3="なし",0,""))</x:f>
        <x:v>0</x:v>
      </x:c>
      <x:c r="K3" s="92" t="str">
        <x:v>2026.9.10</x:v>
      </x:c>
      <x:c r="L3" s="92" t="str">
        <x:v>記載なし</x:v>
      </x:c>
      <x:c r="M3" s="89" t="str">
        <x:v>ドナネマブのNPI、9.18取り込み(1).pdf</x:v>
      </x:c>
      <x:c r="N3" s="89" t="n">
        <x:v>1</x:v>
      </x:c>
      <x:c r="O3" s="119" t="str">
        <x:v>原票の「初回」と治療開始時点との対応は要確認。</x:v>
      </x:c>
    </x:row>
    <x:row r="4" ht="30" customHeight="1">
      <x:c r="A4" s="88" t="str">
        <x:v>D3</x:v>
      </x:c>
      <x:c r="B4" s="88" t="str">
        <x:v>原票なし</x:v>
      </x:c>
      <x:c r="C4" s="116"/>
      <x:c r="D4" s="91" t="str">
        <x:v>原票なし</x:v>
      </x:c>
      <x:c r="E4" s="91" t="str">
        <x:v>原票なし</x:v>
      </x:c>
      <x:c r="F4" s="98"/>
      <x:c r="G4" s="98"/>
      <x:c r="H4" s="99" t="str">
        <x:f>IF(D4="なし",0,IF(AND(D4="あり",ISNUMBER(F4),ISNUMBER(G4)),F4*G4,""))</x:f>
      </x:c>
      <x:c r="I4" s="98" t="str">
        <x:f>IF(D4="あり",1,IF(D4="なし",0,""))</x:f>
      </x:c>
      <x:c r="J4" s="98" t="str">
        <x:f>IF(E4="あり",1,IF(E4="なし",0,""))</x:f>
      </x:c>
      <x:c r="K4" s="91"/>
      <x:c r="L4" s="91"/>
      <x:c r="M4" s="88"/>
      <x:c r="N4" s="88"/>
      <x:c r="O4" s="117" t="str">
        <x:v>添付PDFに該当原票なし。未実施かどうかは不明。</x:v>
      </x:c>
    </x:row>
    <x:row r="5" ht="30" customHeight="1">
      <x:c r="A5" s="89" t="str">
        <x:v>D4</x:v>
      </x:c>
      <x:c r="B5" s="89" t="str">
        <x:v>原票なし</x:v>
      </x:c>
      <x:c r="C5" s="118"/>
      <x:c r="D5" s="92" t="str">
        <x:v>原票なし</x:v>
      </x:c>
      <x:c r="E5" s="92" t="str">
        <x:v>原票なし</x:v>
      </x:c>
      <x:c r="F5" s="101"/>
      <x:c r="G5" s="101"/>
      <x:c r="H5" s="102" t="str">
        <x:f>IF(D5="なし",0,IF(AND(D5="あり",ISNUMBER(F5),ISNUMBER(G5)),F5*G5,""))</x:f>
      </x:c>
      <x:c r="I5" s="101" t="str">
        <x:f>IF(D5="あり",1,IF(D5="なし",0,""))</x:f>
      </x:c>
      <x:c r="J5" s="101" t="str">
        <x:f>IF(E5="あり",1,IF(E5="なし",0,""))</x:f>
      </x:c>
      <x:c r="K5" s="92"/>
      <x:c r="L5" s="92"/>
      <x:c r="M5" s="89"/>
      <x:c r="N5" s="89"/>
      <x:c r="O5" s="119" t="str">
        <x:v>添付PDFに該当原票なし。未実施かどうかは不明。</x:v>
      </x:c>
    </x:row>
    <x:row r="6" ht="30" customHeight="1">
      <x:c r="A6" s="88" t="str">
        <x:v>D5</x:v>
      </x:c>
      <x:c r="B6" s="88" t="str">
        <x:v>原票なし</x:v>
      </x:c>
      <x:c r="C6" s="116"/>
      <x:c r="D6" s="91" t="str">
        <x:v>原票なし</x:v>
      </x:c>
      <x:c r="E6" s="91" t="str">
        <x:v>原票なし</x:v>
      </x:c>
      <x:c r="F6" s="98"/>
      <x:c r="G6" s="98"/>
      <x:c r="H6" s="99" t="str">
        <x:f>IF(D6="なし",0,IF(AND(D6="あり",ISNUMBER(F6),ISNUMBER(G6)),F6*G6,""))</x:f>
      </x:c>
      <x:c r="I6" s="98" t="str">
        <x:f>IF(D6="あり",1,IF(D6="なし",0,""))</x:f>
      </x:c>
      <x:c r="J6" s="98" t="str">
        <x:f>IF(E6="あり",1,IF(E6="なし",0,""))</x:f>
      </x:c>
      <x:c r="K6" s="91"/>
      <x:c r="L6" s="91"/>
      <x:c r="M6" s="88"/>
      <x:c r="N6" s="88"/>
      <x:c r="O6" s="117" t="str">
        <x:v>添付PDFに該当原票なし。未実施かどうかは不明。</x:v>
      </x:c>
    </x:row>
    <x:row r="7" ht="30" customHeight="1">
      <x:c r="A7" s="89" t="str">
        <x:v>D6</x:v>
      </x:c>
      <x:c r="B7" s="89" t="str">
        <x:v>原票なし</x:v>
      </x:c>
      <x:c r="C7" s="118"/>
      <x:c r="D7" s="92" t="str">
        <x:v>原票なし</x:v>
      </x:c>
      <x:c r="E7" s="92" t="str">
        <x:v>原票なし</x:v>
      </x:c>
      <x:c r="F7" s="101"/>
      <x:c r="G7" s="101"/>
      <x:c r="H7" s="102" t="str">
        <x:f>IF(D7="なし",0,IF(AND(D7="あり",ISNUMBER(F7),ISNUMBER(G7)),F7*G7,""))</x:f>
      </x:c>
      <x:c r="I7" s="101" t="str">
        <x:f>IF(D7="あり",1,IF(D7="なし",0,""))</x:f>
      </x:c>
      <x:c r="J7" s="101" t="str">
        <x:f>IF(E7="あり",1,IF(E7="なし",0,""))</x:f>
      </x:c>
      <x:c r="K7" s="92"/>
      <x:c r="L7" s="92"/>
      <x:c r="M7" s="89"/>
      <x:c r="N7" s="89"/>
      <x:c r="O7" s="119" t="str">
        <x:v>添付PDFに該当原票なし。未実施かどうかは不明。</x:v>
      </x:c>
    </x:row>
    <x:row r="8" ht="30" customHeight="1">
      <x:c r="A8" s="88" t="str">
        <x:v>D7</x:v>
      </x:c>
      <x:c r="B8" s="88" t="str">
        <x:v>原票なし</x:v>
      </x:c>
      <x:c r="C8" s="116"/>
      <x:c r="D8" s="91" t="str">
        <x:v>原票なし</x:v>
      </x:c>
      <x:c r="E8" s="91" t="str">
        <x:v>原票なし</x:v>
      </x:c>
      <x:c r="F8" s="98"/>
      <x:c r="G8" s="98"/>
      <x:c r="H8" s="99" t="str">
        <x:f>IF(D8="なし",0,IF(AND(D8="あり",ISNUMBER(F8),ISNUMBER(G8)),F8*G8,""))</x:f>
      </x:c>
      <x:c r="I8" s="98" t="str">
        <x:f>IF(D8="あり",1,IF(D8="なし",0,""))</x:f>
      </x:c>
      <x:c r="J8" s="98" t="str">
        <x:f>IF(E8="あり",1,IF(E8="なし",0,""))</x:f>
      </x:c>
      <x:c r="K8" s="91"/>
      <x:c r="L8" s="91"/>
      <x:c r="M8" s="88"/>
      <x:c r="N8" s="88"/>
      <x:c r="O8" s="117" t="str">
        <x:v>添付PDFに該当原票なし。未実施かどうかは不明。</x:v>
      </x:c>
    </x:row>
    <x:row r="9" ht="30" customHeight="1">
      <x:c r="A9" s="89" t="str">
        <x:v>D8</x:v>
      </x:c>
      <x:c r="B9" s="89" t="str">
        <x:v>原票なし</x:v>
      </x:c>
      <x:c r="C9" s="118"/>
      <x:c r="D9" s="92" t="str">
        <x:v>原票なし</x:v>
      </x:c>
      <x:c r="E9" s="92" t="str">
        <x:v>原票なし</x:v>
      </x:c>
      <x:c r="F9" s="101"/>
      <x:c r="G9" s="101"/>
      <x:c r="H9" s="102" t="str">
        <x:f>IF(D9="なし",0,IF(AND(D9="あり",ISNUMBER(F9),ISNUMBER(G9)),F9*G9,""))</x:f>
      </x:c>
      <x:c r="I9" s="101" t="str">
        <x:f>IF(D9="あり",1,IF(D9="なし",0,""))</x:f>
      </x:c>
      <x:c r="J9" s="101" t="str">
        <x:f>IF(E9="あり",1,IF(E9="なし",0,""))</x:f>
      </x:c>
      <x:c r="K9" s="92"/>
      <x:c r="L9" s="92"/>
      <x:c r="M9" s="89"/>
      <x:c r="N9" s="89"/>
      <x:c r="O9" s="119" t="str">
        <x:v>添付PDFに該当原票なし。未実施かどうかは不明。</x:v>
      </x:c>
    </x:row>
    <x:row r="10" ht="30" customHeight="1">
      <x:c r="A10" s="88" t="str">
        <x:v>D9</x:v>
      </x:c>
      <x:c r="B10" s="88" t="str">
        <x:v>原票なし</x:v>
      </x:c>
      <x:c r="C10" s="116"/>
      <x:c r="D10" s="91" t="str">
        <x:v>原票なし</x:v>
      </x:c>
      <x:c r="E10" s="91" t="str">
        <x:v>原票なし</x:v>
      </x:c>
      <x:c r="F10" s="98"/>
      <x:c r="G10" s="98"/>
      <x:c r="H10" s="99" t="str">
        <x:f>IF(D10="なし",0,IF(AND(D10="あり",ISNUMBER(F10),ISNUMBER(G10)),F10*G10,""))</x:f>
      </x:c>
      <x:c r="I10" s="98" t="str">
        <x:f>IF(D10="あり",1,IF(D10="なし",0,""))</x:f>
      </x:c>
      <x:c r="J10" s="98" t="str">
        <x:f>IF(E10="あり",1,IF(E10="なし",0,""))</x:f>
      </x:c>
      <x:c r="K10" s="91"/>
      <x:c r="L10" s="91"/>
      <x:c r="M10" s="88"/>
      <x:c r="N10" s="88"/>
      <x:c r="O10" s="117" t="str">
        <x:v>添付PDFに該当原票なし。未実施かどうかは不明。</x:v>
      </x:c>
    </x:row>
    <x:row r="11" ht="30" customHeight="1">
      <x:c r="A11" s="89" t="str">
        <x:v>D10</x:v>
      </x:c>
      <x:c r="B11" s="89" t="str">
        <x:v>原票なし</x:v>
      </x:c>
      <x:c r="C11" s="118"/>
      <x:c r="D11" s="92" t="str">
        <x:v>原票なし</x:v>
      </x:c>
      <x:c r="E11" s="92" t="str">
        <x:v>原票なし</x:v>
      </x:c>
      <x:c r="F11" s="101"/>
      <x:c r="G11" s="101"/>
      <x:c r="H11" s="102" t="str">
        <x:f>IF(D11="なし",0,IF(AND(D11="あり",ISNUMBER(F11),ISNUMBER(G11)),F11*G11,""))</x:f>
      </x:c>
      <x:c r="I11" s="101" t="str">
        <x:f>IF(D11="あり",1,IF(D11="なし",0,""))</x:f>
      </x:c>
      <x:c r="J11" s="101" t="str">
        <x:f>IF(E11="あり",1,IF(E11="なし",0,""))</x:f>
      </x:c>
      <x:c r="K11" s="92"/>
      <x:c r="L11" s="92"/>
      <x:c r="M11" s="89"/>
      <x:c r="N11" s="89"/>
      <x:c r="O11" s="119" t="str">
        <x:v>添付PDFに該当原票なし。未実施かどうかは不明。</x:v>
      </x:c>
    </x:row>
    <x:row r="12" ht="30" customHeight="1">
      <x:c r="A12" s="88" t="str">
        <x:v>D11</x:v>
      </x:c>
      <x:c r="B12" s="88" t="str">
        <x:v>原票なし</x:v>
      </x:c>
      <x:c r="C12" s="116"/>
      <x:c r="D12" s="91" t="str">
        <x:v>原票なし</x:v>
      </x:c>
      <x:c r="E12" s="91" t="str">
        <x:v>原票なし</x:v>
      </x:c>
      <x:c r="F12" s="98"/>
      <x:c r="G12" s="98"/>
      <x:c r="H12" s="99" t="str">
        <x:f>IF(D12="なし",0,IF(AND(D12="あり",ISNUMBER(F12),ISNUMBER(G12)),F12*G12,""))</x:f>
      </x:c>
      <x:c r="I12" s="98" t="str">
        <x:f>IF(D12="あり",1,IF(D12="なし",0,""))</x:f>
      </x:c>
      <x:c r="J12" s="98" t="str">
        <x:f>IF(E12="あり",1,IF(E12="なし",0,""))</x:f>
      </x:c>
      <x:c r="K12" s="91"/>
      <x:c r="L12" s="91"/>
      <x:c r="M12" s="88"/>
      <x:c r="N12" s="88"/>
      <x:c r="O12" s="117" t="str">
        <x:v>添付PDFに該当原票なし。未実施かどうかは不明。</x:v>
      </x:c>
    </x:row>
    <x:row r="13" ht="30" customHeight="1">
      <x:c r="A13" s="89" t="str">
        <x:v>D12</x:v>
      </x:c>
      <x:c r="B13" s="89" t="str">
        <x:v>原票なし</x:v>
      </x:c>
      <x:c r="C13" s="118"/>
      <x:c r="D13" s="92" t="str">
        <x:v>原票なし</x:v>
      </x:c>
      <x:c r="E13" s="92" t="str">
        <x:v>原票なし</x:v>
      </x:c>
      <x:c r="F13" s="101"/>
      <x:c r="G13" s="101"/>
      <x:c r="H13" s="102" t="str">
        <x:f>IF(D13="なし",0,IF(AND(D13="あり",ISNUMBER(F13),ISNUMBER(G13)),F13*G13,""))</x:f>
      </x:c>
      <x:c r="I13" s="101" t="str">
        <x:f>IF(D13="あり",1,IF(D13="なし",0,""))</x:f>
      </x:c>
      <x:c r="J13" s="101" t="str">
        <x:f>IF(E13="あり",1,IF(E13="なし",0,""))</x:f>
      </x:c>
      <x:c r="K13" s="92"/>
      <x:c r="L13" s="92"/>
      <x:c r="M13" s="89"/>
      <x:c r="N13" s="89"/>
      <x:c r="O13" s="119" t="str">
        <x:v>添付PDFに該当原票なし。未実施かどうかは不明。</x:v>
      </x:c>
    </x:row>
    <x:row r="14" ht="30" customHeight="1">
      <x:c r="A14" s="88" t="str">
        <x:v>D13</x:v>
      </x:c>
      <x:c r="B14" s="88" t="str">
        <x:v>原票なし</x:v>
      </x:c>
      <x:c r="C14" s="116"/>
      <x:c r="D14" s="91" t="str">
        <x:v>原票なし</x:v>
      </x:c>
      <x:c r="E14" s="91" t="str">
        <x:v>原票なし</x:v>
      </x:c>
      <x:c r="F14" s="98"/>
      <x:c r="G14" s="98"/>
      <x:c r="H14" s="99" t="str">
        <x:f>IF(D14="なし",0,IF(AND(D14="あり",ISNUMBER(F14),ISNUMBER(G14)),F14*G14,""))</x:f>
      </x:c>
      <x:c r="I14" s="98" t="str">
        <x:f>IF(D14="あり",1,IF(D14="なし",0,""))</x:f>
      </x:c>
      <x:c r="J14" s="98" t="str">
        <x:f>IF(E14="あり",1,IF(E14="なし",0,""))</x:f>
      </x:c>
      <x:c r="K14" s="91"/>
      <x:c r="L14" s="91"/>
      <x:c r="M14" s="88"/>
      <x:c r="N14" s="88"/>
      <x:c r="O14" s="117" t="str">
        <x:v>添付PDFに該当原票なし。未実施かどうかは不明。</x:v>
      </x:c>
    </x:row>
    <x:row r="15" ht="30" customHeight="1">
      <x:c r="A15" s="89" t="str">
        <x:v>D14</x:v>
      </x:c>
      <x:c r="B15" s="89" t="str">
        <x:v>原票なし</x:v>
      </x:c>
      <x:c r="C15" s="118"/>
      <x:c r="D15" s="92" t="str">
        <x:v>原票なし</x:v>
      </x:c>
      <x:c r="E15" s="92" t="str">
        <x:v>原票なし</x:v>
      </x:c>
      <x:c r="F15" s="101"/>
      <x:c r="G15" s="101"/>
      <x:c r="H15" s="102" t="str">
        <x:f>IF(D15="なし",0,IF(AND(D15="あり",ISNUMBER(F15),ISNUMBER(G15)),F15*G15,""))</x:f>
      </x:c>
      <x:c r="I15" s="101" t="str">
        <x:f>IF(D15="あり",1,IF(D15="なし",0,""))</x:f>
      </x:c>
      <x:c r="J15" s="101" t="str">
        <x:f>IF(E15="あり",1,IF(E15="なし",0,""))</x:f>
      </x:c>
      <x:c r="K15" s="92"/>
      <x:c r="L15" s="92"/>
      <x:c r="M15" s="89"/>
      <x:c r="N15" s="89"/>
      <x:c r="O15" s="119" t="str">
        <x:v>添付PDFに該当原票なし。未実施かどうかは不明。</x:v>
      </x:c>
    </x:row>
    <x:row r="16" ht="30" customHeight="1">
      <x:c r="A16" s="88" t="str">
        <x:v>D15</x:v>
      </x:c>
      <x:c r="B16" s="88" t="str">
        <x:v>原票なし</x:v>
      </x:c>
      <x:c r="C16" s="116"/>
      <x:c r="D16" s="91" t="str">
        <x:v>原票なし</x:v>
      </x:c>
      <x:c r="E16" s="91" t="str">
        <x:v>原票なし</x:v>
      </x:c>
      <x:c r="F16" s="98"/>
      <x:c r="G16" s="98"/>
      <x:c r="H16" s="99" t="str">
        <x:f>IF(D16="なし",0,IF(AND(D16="あり",ISNUMBER(F16),ISNUMBER(G16)),F16*G16,""))</x:f>
      </x:c>
      <x:c r="I16" s="98" t="str">
        <x:f>IF(D16="あり",1,IF(D16="なし",0,""))</x:f>
      </x:c>
      <x:c r="J16" s="98" t="str">
        <x:f>IF(E16="あり",1,IF(E16="なし",0,""))</x:f>
      </x:c>
      <x:c r="K16" s="91"/>
      <x:c r="L16" s="91"/>
      <x:c r="M16" s="88"/>
      <x:c r="N16" s="88"/>
      <x:c r="O16" s="117" t="str">
        <x:v>添付PDFに該当原票なし。未実施かどうかは不明。</x:v>
      </x:c>
    </x:row>
    <x:row r="17" ht="30" customHeight="1">
      <x:c r="A17" s="89" t="str">
        <x:v>D16</x:v>
      </x:c>
      <x:c r="B17" s="89" t="str">
        <x:v>原票なし</x:v>
      </x:c>
      <x:c r="C17" s="118"/>
      <x:c r="D17" s="92" t="str">
        <x:v>原票なし</x:v>
      </x:c>
      <x:c r="E17" s="92" t="str">
        <x:v>原票なし</x:v>
      </x:c>
      <x:c r="F17" s="101"/>
      <x:c r="G17" s="101"/>
      <x:c r="H17" s="102" t="str">
        <x:f>IF(D17="なし",0,IF(AND(D17="あり",ISNUMBER(F17),ISNUMBER(G17)),F17*G17,""))</x:f>
      </x:c>
      <x:c r="I17" s="101" t="str">
        <x:f>IF(D17="あり",1,IF(D17="なし",0,""))</x:f>
      </x:c>
      <x:c r="J17" s="101" t="str">
        <x:f>IF(E17="あり",1,IF(E17="なし",0,""))</x:f>
      </x:c>
      <x:c r="K17" s="92"/>
      <x:c r="L17" s="92"/>
      <x:c r="M17" s="89"/>
      <x:c r="N17" s="89"/>
      <x:c r="O17" s="119" t="str">
        <x:v>添付PDFに該当原票なし。未実施かどうかは不明。</x:v>
      </x:c>
    </x:row>
    <x:row r="18" ht="30" customHeight="1">
      <x:c r="A18" s="88" t="str">
        <x:v>D17</x:v>
      </x:c>
      <x:c r="B18" s="88" t="str">
        <x:v>原票なし</x:v>
      </x:c>
      <x:c r="C18" s="116"/>
      <x:c r="D18" s="91" t="str">
        <x:v>原票なし</x:v>
      </x:c>
      <x:c r="E18" s="91" t="str">
        <x:v>原票なし</x:v>
      </x:c>
      <x:c r="F18" s="98"/>
      <x:c r="G18" s="98"/>
      <x:c r="H18" s="99" t="str">
        <x:f>IF(D18="なし",0,IF(AND(D18="あり",ISNUMBER(F18),ISNUMBER(G18)),F18*G18,""))</x:f>
      </x:c>
      <x:c r="I18" s="98" t="str">
        <x:f>IF(D18="あり",1,IF(D18="なし",0,""))</x:f>
      </x:c>
      <x:c r="J18" s="98" t="str">
        <x:f>IF(E18="あり",1,IF(E18="なし",0,""))</x:f>
      </x:c>
      <x:c r="K18" s="91"/>
      <x:c r="L18" s="91"/>
      <x:c r="M18" s="88"/>
      <x:c r="N18" s="88"/>
      <x:c r="O18" s="117" t="str">
        <x:v>添付PDFに該当原票なし。未実施かどうかは不明。</x:v>
      </x:c>
    </x:row>
    <x:row r="19" ht="30" customHeight="1">
      <x:c r="A19" s="89" t="str">
        <x:v>D18</x:v>
      </x:c>
      <x:c r="B19" s="89" t="str">
        <x:v>初回</x:v>
      </x:c>
      <x:c r="C19" s="118" t="n">
        <x:v>46029</x:v>
      </x:c>
      <x:c r="D19" s="92" t="str">
        <x:v>なし</x:v>
      </x:c>
      <x:c r="E19" s="92" t="str">
        <x:v>なし</x:v>
      </x:c>
      <x:c r="F19" s="101"/>
      <x:c r="G19" s="101"/>
      <x:c r="H19" s="102" t="n">
        <x:f>IF(D19="なし",0,IF(AND(D19="あり",ISNUMBER(F19),ISNUMBER(G19)),F19*G19,""))</x:f>
        <x:v>0</x:v>
      </x:c>
      <x:c r="I19" s="101" t="n">
        <x:f>IF(D19="あり",1,IF(D19="なし",0,""))</x:f>
        <x:v>0</x:v>
      </x:c>
      <x:c r="J19" s="101" t="n">
        <x:f>IF(E19="あり",1,IF(E19="なし",0,""))</x:f>
        <x:v>0</x:v>
      </x:c>
      <x:c r="K19" s="92" t="str">
        <x:v>2026.1.7</x:v>
      </x:c>
      <x:c r="L19" s="92" t="str">
        <x:v>推定</x:v>
      </x:c>
      <x:c r="M19" s="89" t="str">
        <x:v>ドナネマブのNPI、9.18取り込み(1).pdf</x:v>
      </x:c>
      <x:c r="N19" s="89" t="n">
        <x:v>13</x:v>
      </x:c>
      <x:c r="O19" s="119" t="str">
        <x:v>原票に「推定」の注記あり。推定の対象・方法は要確認。</x:v>
      </x:c>
    </x:row>
    <x:row r="20" ht="30" customHeight="1">
      <x:c r="A20" s="89" t="str">
        <x:v>D18</x:v>
      </x:c>
      <x:c r="B20" s="89" t="str">
        <x:v>6か月</x:v>
      </x:c>
      <x:c r="C20" s="118" t="n">
        <x:v>46239</x:v>
      </x:c>
      <x:c r="D20" s="92" t="str">
        <x:v>なし</x:v>
      </x:c>
      <x:c r="E20" s="92" t="str">
        <x:v>あり</x:v>
      </x:c>
      <x:c r="F20" s="101"/>
      <x:c r="G20" s="101"/>
      <x:c r="H20" s="102" t="n">
        <x:f>IF(D20="なし",0,IF(AND(D20="あり",ISNUMBER(F20),ISNUMBER(G20)),F20*G20,""))</x:f>
        <x:v>0</x:v>
      </x:c>
      <x:c r="I20" s="101" t="n">
        <x:f>IF(D20="あり",1,IF(D20="なし",0,""))</x:f>
        <x:v>0</x:v>
      </x:c>
      <x:c r="J20" s="101" t="n">
        <x:f>IF(E20="あり",1,IF(E20="なし",0,""))</x:f>
        <x:v>1</x:v>
      </x:c>
      <x:c r="K20" s="92" t="str">
        <x:v>2026.8.5</x:v>
      </x:c>
      <x:c r="L20" s="92" t="str">
        <x:v>記載なし</x:v>
      </x:c>
      <x:c r="M20" s="89" t="str">
        <x:v>ドナネマブのNPI、9.18取り込み(1).pdf</x:v>
      </x:c>
      <x:c r="N20" s="89" t="n">
        <x:v>14</x:v>
      </x:c>
      <x:c r="O20" s="119"/>
    </x:row>
    <x:row r="21" ht="30" customHeight="1">
      <x:c r="A21" s="88" t="str">
        <x:v>D19</x:v>
      </x:c>
      <x:c r="B21" s="88" t="str">
        <x:v>初回</x:v>
      </x:c>
      <x:c r="C21" s="116" t="n">
        <x:v>46044</x:v>
      </x:c>
      <x:c r="D21" s="91" t="str">
        <x:v>なし</x:v>
      </x:c>
      <x:c r="E21" s="91" t="str">
        <x:v>なし</x:v>
      </x:c>
      <x:c r="F21" s="98"/>
      <x:c r="G21" s="98"/>
      <x:c r="H21" s="99" t="n">
        <x:f>IF(D21="なし",0,IF(AND(D21="あり",ISNUMBER(F21),ISNUMBER(G21)),F21*G21,""))</x:f>
        <x:v>0</x:v>
      </x:c>
      <x:c r="I21" s="98" t="n">
        <x:f>IF(D21="あり",1,IF(D21="なし",0,""))</x:f>
        <x:v>0</x:v>
      </x:c>
      <x:c r="J21" s="98" t="n">
        <x:f>IF(E21="あり",1,IF(E21="なし",0,""))</x:f>
        <x:v>0</x:v>
      </x:c>
      <x:c r="K21" s="91" t="str">
        <x:v>2026.1.22</x:v>
      </x:c>
      <x:c r="L21" s="91" t="str">
        <x:v>推定</x:v>
      </x:c>
      <x:c r="M21" s="88" t="str">
        <x:v>ドナネマブのNPI、9.18取り込み(1).pdf</x:v>
      </x:c>
      <x:c r="N21" s="88" t="n">
        <x:v>12</x:v>
      </x:c>
      <x:c r="O21" s="117" t="str">
        <x:v>原票に「推定」の注記あり。推定の対象・方法は要確認。</x:v>
      </x:c>
    </x:row>
    <x:row r="22" ht="30" customHeight="1">
      <x:c r="A22" s="88" t="str">
        <x:v>D19</x:v>
      </x:c>
      <x:c r="B22" s="88" t="str">
        <x:v>6か月フォロー</x:v>
      </x:c>
      <x:c r="C22" s="116" t="n">
        <x:v>46247</x:v>
      </x:c>
      <x:c r="D22" s="91" t="str">
        <x:v>なし</x:v>
      </x:c>
      <x:c r="E22" s="91" t="str">
        <x:v>あり</x:v>
      </x:c>
      <x:c r="F22" s="98"/>
      <x:c r="G22" s="98"/>
      <x:c r="H22" s="99" t="n">
        <x:f>IF(D22="なし",0,IF(AND(D22="あり",ISNUMBER(F22),ISNUMBER(G22)),F22*G22,""))</x:f>
        <x:v>0</x:v>
      </x:c>
      <x:c r="I22" s="98" t="n">
        <x:f>IF(D22="あり",1,IF(D22="なし",0,""))</x:f>
        <x:v>0</x:v>
      </x:c>
      <x:c r="J22" s="98" t="n">
        <x:f>IF(E22="あり",1,IF(E22="なし",0,""))</x:f>
        <x:v>1</x:v>
      </x:c>
      <x:c r="K22" s="91" t="str">
        <x:v>2026.8.13</x:v>
      </x:c>
      <x:c r="L22" s="91" t="str">
        <x:v>記載なし</x:v>
      </x:c>
      <x:c r="M22" s="88" t="str">
        <x:v>ドナネマブのNPI、9.18取り込み(1).pdf</x:v>
      </x:c>
      <x:c r="N22" s="88" t="n">
        <x:v>11</x:v>
      </x:c>
      <x:c r="O22" s="117"/>
    </x:row>
    <x:row r="23" ht="30" customHeight="1">
      <x:c r="A23" s="89" t="str">
        <x:v>D20</x:v>
      </x:c>
      <x:c r="B23" s="89" t="str">
        <x:v>初回</x:v>
      </x:c>
      <x:c r="C23" s="118" t="n">
        <x:v>46028</x:v>
      </x:c>
      <x:c r="D23" s="92" t="str">
        <x:v>なし</x:v>
      </x:c>
      <x:c r="E23" s="92" t="str">
        <x:v>あり</x:v>
      </x:c>
      <x:c r="F23" s="101"/>
      <x:c r="G23" s="101"/>
      <x:c r="H23" s="102" t="n">
        <x:f>IF(D23="なし",0,IF(AND(D23="あり",ISNUMBER(F23),ISNUMBER(G23)),F23*G23,""))</x:f>
        <x:v>0</x:v>
      </x:c>
      <x:c r="I23" s="101" t="n">
        <x:f>IF(D23="あり",1,IF(D23="なし",0,""))</x:f>
        <x:v>0</x:v>
      </x:c>
      <x:c r="J23" s="101" t="n">
        <x:f>IF(E23="あり",1,IF(E23="なし",0,""))</x:f>
        <x:v>1</x:v>
      </x:c>
      <x:c r="K23" s="92" t="str">
        <x:v>2026.1.6</x:v>
      </x:c>
      <x:c r="L23" s="92" t="str">
        <x:v>推</x:v>
      </x:c>
      <x:c r="M23" s="89" t="str">
        <x:v>ドナネマブのNPI、9.18取り込み(1).pdf</x:v>
      </x:c>
      <x:c r="N23" s="89" t="n">
        <x:v>10</x:v>
      </x:c>
      <x:c r="O23" s="119" t="str">
        <x:v>原票に「推」の注記あり。推定の対象・方法は要確認。</x:v>
      </x:c>
    </x:row>
    <x:row r="24" ht="30" customHeight="1">
      <x:c r="A24" s="89" t="str">
        <x:v>D20</x:v>
      </x:c>
      <x:c r="B24" s="89" t="str">
        <x:v>6か月フォロー</x:v>
      </x:c>
      <x:c r="C24" s="118" t="n">
        <x:v>46248</x:v>
      </x:c>
      <x:c r="D24" s="92" t="str">
        <x:v>なし</x:v>
      </x:c>
      <x:c r="E24" s="92" t="str">
        <x:v>なし</x:v>
      </x:c>
      <x:c r="F24" s="101"/>
      <x:c r="G24" s="101"/>
      <x:c r="H24" s="102" t="n">
        <x:f>IF(D24="なし",0,IF(AND(D24="あり",ISNUMBER(F24),ISNUMBER(G24)),F24*G24,""))</x:f>
        <x:v>0</x:v>
      </x:c>
      <x:c r="I24" s="101" t="n">
        <x:f>IF(D24="あり",1,IF(D24="なし",0,""))</x:f>
        <x:v>0</x:v>
      </x:c>
      <x:c r="J24" s="101" t="n">
        <x:f>IF(E24="あり",1,IF(E24="なし",0,""))</x:f>
        <x:v>0</x:v>
      </x:c>
      <x:c r="K24" s="92" t="str">
        <x:v>2026.8.14</x:v>
      </x:c>
      <x:c r="L24" s="92" t="str">
        <x:v>記載なし</x:v>
      </x:c>
      <x:c r="M24" s="89" t="str">
        <x:v>ドナネマブのNPI、9.18取り込み(1).pdf</x:v>
      </x:c>
      <x:c r="N24" s="89" t="n">
        <x:v>9</x:v>
      </x:c>
      <x:c r="O24" s="119"/>
    </x:row>
    <x:row r="25" ht="30" customHeight="1">
      <x:c r="A25" s="88" t="str">
        <x:v>D21</x:v>
      </x:c>
      <x:c r="B25" s="88" t="str">
        <x:v>記載なし</x:v>
      </x:c>
      <x:c r="C25" s="116"/>
      <x:c r="D25" s="91" t="str">
        <x:v>なし</x:v>
      </x:c>
      <x:c r="E25" s="91" t="str">
        <x:v>なし</x:v>
      </x:c>
      <x:c r="F25" s="98"/>
      <x:c r="G25" s="98"/>
      <x:c r="H25" s="99" t="n">
        <x:f>IF(D25="なし",0,IF(AND(D25="あり",ISNUMBER(F25),ISNUMBER(G25)),F25*G25,""))</x:f>
        <x:v>0</x:v>
      </x:c>
      <x:c r="I25" s="98" t="n">
        <x:f>IF(D25="あり",1,IF(D25="なし",0,""))</x:f>
        <x:v>0</x:v>
      </x:c>
      <x:c r="J25" s="98" t="n">
        <x:f>IF(E25="あり",1,IF(E25="なし",0,""))</x:f>
        <x:v>0</x:v>
      </x:c>
      <x:c r="K25" s="91" t="str">
        <x:v>2026.1</x:v>
      </x:c>
      <x:c r="L25" s="91" t="str">
        <x:v>記載なし</x:v>
      </x:c>
      <x:c r="M25" s="88" t="str">
        <x:v>ドナネマブのNPI、9.18取り込み(1).pdf</x:v>
      </x:c>
      <x:c r="N25" s="88" t="n">
        <x:v>7</x:v>
      </x:c>
      <x:c r="O25" s="117" t="str">
        <x:v>日付は年月のみ。時点の記載なし。</x:v>
      </x:c>
    </x:row>
    <x:row r="26" ht="30" customHeight="1">
      <x:c r="A26" s="88" t="str">
        <x:v>D21</x:v>
      </x:c>
      <x:c r="B26" s="88" t="str">
        <x:v>6か月フォロー</x:v>
      </x:c>
      <x:c r="C26" s="116" t="n">
        <x:v>46267</x:v>
      </x:c>
      <x:c r="D26" s="91" t="str">
        <x:v>なし</x:v>
      </x:c>
      <x:c r="E26" s="91" t="str">
        <x:v>あり</x:v>
      </x:c>
      <x:c r="F26" s="98"/>
      <x:c r="G26" s="98"/>
      <x:c r="H26" s="99" t="n">
        <x:f>IF(D26="なし",0,IF(AND(D26="あり",ISNUMBER(F26),ISNUMBER(G26)),F26*G26,""))</x:f>
        <x:v>0</x:v>
      </x:c>
      <x:c r="I26" s="98" t="n">
        <x:f>IF(D26="あり",1,IF(D26="なし",0,""))</x:f>
        <x:v>0</x:v>
      </x:c>
      <x:c r="J26" s="98" t="n">
        <x:f>IF(E26="あり",1,IF(E26="なし",0,""))</x:f>
        <x:v>1</x:v>
      </x:c>
      <x:c r="K26" s="91" t="str">
        <x:v>2026.9.2</x:v>
      </x:c>
      <x:c r="L26" s="91" t="str">
        <x:v>記載なし</x:v>
      </x:c>
      <x:c r="M26" s="88" t="str">
        <x:v>ドナネマブのNPI、9.18取り込み(1).pdf</x:v>
      </x:c>
      <x:c r="N26" s="88" t="n">
        <x:v>8</x:v>
      </x:c>
      <x:c r="O26" s="117"/>
    </x:row>
    <x:row r="27" ht="30" customHeight="1">
      <x:c r="A27" s="89" t="str">
        <x:v>D22</x:v>
      </x:c>
      <x:c r="B27" s="89" t="str">
        <x:v>記載なし</x:v>
      </x:c>
      <x:c r="C27" s="118"/>
      <x:c r="D27" s="92" t="str">
        <x:v>なし</x:v>
      </x:c>
      <x:c r="E27" s="92" t="str">
        <x:v>なし</x:v>
      </x:c>
      <x:c r="F27" s="101"/>
      <x:c r="G27" s="101"/>
      <x:c r="H27" s="102" t="n">
        <x:f>IF(D27="なし",0,IF(AND(D27="あり",ISNUMBER(F27),ISNUMBER(G27)),F27*G27,""))</x:f>
        <x:v>0</x:v>
      </x:c>
      <x:c r="I27" s="101" t="n">
        <x:f>IF(D27="あり",1,IF(D27="なし",0,""))</x:f>
        <x:v>0</x:v>
      </x:c>
      <x:c r="J27" s="101" t="n">
        <x:f>IF(E27="あり",1,IF(E27="なし",0,""))</x:f>
        <x:v>0</x:v>
      </x:c>
      <x:c r="K27" s="92" t="str">
        <x:v>2026.3</x:v>
      </x:c>
      <x:c r="L27" s="92" t="str">
        <x:v>推</x:v>
      </x:c>
      <x:c r="M27" s="89" t="str">
        <x:v>ドナネマブのNPI、9.18取り込み(1).pdf</x:v>
      </x:c>
      <x:c r="N27" s="89" t="n">
        <x:v>6</x:v>
      </x:c>
      <x:c r="O27" s="119" t="str">
        <x:v>日付は年月のみ。時点の記載なし。 原票に「推」の注記あり。推定の対象・方法は要確認。</x:v>
      </x:c>
    </x:row>
    <x:row r="28" ht="30" customHeight="1">
      <x:c r="A28" s="89" t="str">
        <x:v>D22</x:v>
      </x:c>
      <x:c r="B28" s="89" t="str">
        <x:v>6か月フォロー</x:v>
      </x:c>
      <x:c r="C28" s="118" t="n">
        <x:v>46268</x:v>
      </x:c>
      <x:c r="D28" s="92" t="str">
        <x:v>なし</x:v>
      </x:c>
      <x:c r="E28" s="92" t="str">
        <x:v>なし</x:v>
      </x:c>
      <x:c r="F28" s="101"/>
      <x:c r="G28" s="101"/>
      <x:c r="H28" s="102" t="n">
        <x:f>IF(D28="なし",0,IF(AND(D28="あり",ISNUMBER(F28),ISNUMBER(G28)),F28*G28,""))</x:f>
        <x:v>0</x:v>
      </x:c>
      <x:c r="I28" s="101" t="n">
        <x:f>IF(D28="あり",1,IF(D28="なし",0,""))</x:f>
        <x:v>0</x:v>
      </x:c>
      <x:c r="J28" s="101" t="n">
        <x:f>IF(E28="あり",1,IF(E28="なし",0,""))</x:f>
        <x:v>0</x:v>
      </x:c>
      <x:c r="K28" s="92" t="str">
        <x:v>2026.9.3</x:v>
      </x:c>
      <x:c r="L28" s="92" t="str">
        <x:v>記載なし</x:v>
      </x:c>
      <x:c r="M28" s="89" t="str">
        <x:v>ドナネマブのNPI、9.18取り込み(1).pdf</x:v>
      </x:c>
      <x:c r="N28" s="89" t="n">
        <x:v>5</x:v>
      </x:c>
      <x:c r="O28" s="119"/>
    </x:row>
    <x:row r="29" ht="30" customHeight="1">
      <x:c r="A29" s="88" t="str">
        <x:v>D23</x:v>
      </x:c>
      <x:c r="B29" s="88" t="str">
        <x:v>記載なし</x:v>
      </x:c>
      <x:c r="C29" s="116"/>
      <x:c r="D29" s="91" t="str">
        <x:v>なし</x:v>
      </x:c>
      <x:c r="E29" s="91" t="str">
        <x:v>なし</x:v>
      </x:c>
      <x:c r="F29" s="98"/>
      <x:c r="G29" s="98"/>
      <x:c r="H29" s="99" t="n">
        <x:f>IF(D29="なし",0,IF(AND(D29="あり",ISNUMBER(F29),ISNUMBER(G29)),F29*G29,""))</x:f>
        <x:v>0</x:v>
      </x:c>
      <x:c r="I29" s="98" t="n">
        <x:f>IF(D29="あり",1,IF(D29="なし",0,""))</x:f>
        <x:v>0</x:v>
      </x:c>
      <x:c r="J29" s="98" t="n">
        <x:f>IF(E29="あり",1,IF(E29="なし",0,""))</x:f>
        <x:v>0</x:v>
      </x:c>
      <x:c r="K29" s="91" t="str">
        <x:v>2026.3</x:v>
      </x:c>
      <x:c r="L29" s="91" t="str">
        <x:v>記載なし</x:v>
      </x:c>
      <x:c r="M29" s="88" t="str">
        <x:v>ドナネマブのNPI、9.18取り込み(1).pdf</x:v>
      </x:c>
      <x:c r="N29" s="88" t="n">
        <x:v>4</x:v>
      </x:c>
      <x:c r="O29" s="117" t="str">
        <x:v>日付は年月のみ。時点の記載なし。</x:v>
      </x:c>
    </x:row>
    <x:row r="30" ht="30" customHeight="1">
      <x:c r="A30" s="88" t="str">
        <x:v>D23</x:v>
      </x:c>
      <x:c r="B30" s="88" t="str">
        <x:v>6か月フォロー</x:v>
      </x:c>
      <x:c r="C30" s="116" t="n">
        <x:v>46269</x:v>
      </x:c>
      <x:c r="D30" s="91" t="str">
        <x:v>なし</x:v>
      </x:c>
      <x:c r="E30" s="91" t="str">
        <x:v>なし</x:v>
      </x:c>
      <x:c r="F30" s="98"/>
      <x:c r="G30" s="98"/>
      <x:c r="H30" s="99" t="n">
        <x:f>IF(D30="なし",0,IF(AND(D30="あり",ISNUMBER(F30),ISNUMBER(G30)),F30*G30,""))</x:f>
        <x:v>0</x:v>
      </x:c>
      <x:c r="I30" s="98" t="n">
        <x:f>IF(D30="あり",1,IF(D30="なし",0,""))</x:f>
        <x:v>0</x:v>
      </x:c>
      <x:c r="J30" s="98" t="n">
        <x:f>IF(E30="あり",1,IF(E30="なし",0,""))</x:f>
        <x:v>0</x:v>
      </x:c>
      <x:c r="K30" s="91" t="str">
        <x:v>2026.9.4</x:v>
      </x:c>
      <x:c r="L30" s="91" t="str">
        <x:v>記載なし</x:v>
      </x:c>
      <x:c r="M30" s="88" t="str">
        <x:v>ドナネマブのNPI、9.18取り込み(1).pdf</x:v>
      </x:c>
      <x:c r="N30" s="88" t="n">
        <x:v>3</x:v>
      </x:c>
      <x:c r="O30" s="117"/>
    </x:row>
    <x:row r="31" ht="30" customHeight="1">
      <x:c r="A31" s="89" t="str">
        <x:v>D24</x:v>
      </x:c>
      <x:c r="B31" s="89" t="str">
        <x:v>原票なし</x:v>
      </x:c>
      <x:c r="C31" s="118"/>
      <x:c r="D31" s="92" t="str">
        <x:v>原票なし</x:v>
      </x:c>
      <x:c r="E31" s="92" t="str">
        <x:v>原票なし</x:v>
      </x:c>
      <x:c r="F31" s="101"/>
      <x:c r="G31" s="101"/>
      <x:c r="H31" s="102" t="str">
        <x:f>IF(D31="なし",0,IF(AND(D31="あり",ISNUMBER(F31),ISNUMBER(G31)),F31*G31,""))</x:f>
      </x:c>
      <x:c r="I31" s="101" t="str">
        <x:f>IF(D31="あり",1,IF(D31="なし",0,""))</x:f>
      </x:c>
      <x:c r="J31" s="101" t="str">
        <x:f>IF(E31="あり",1,IF(E31="なし",0,""))</x:f>
      </x:c>
      <x:c r="K31" s="92"/>
      <x:c r="L31" s="92"/>
      <x:c r="M31" s="89"/>
      <x:c r="N31" s="89"/>
      <x:c r="O31" s="119" t="str">
        <x:v>添付PDFに該当原票なし。未実施かどうかは不明。</x:v>
      </x:c>
    </x:row>
    <x:row r="32" ht="30" customHeight="1">
      <x:c r="A32" s="88" t="str">
        <x:v>D25</x:v>
      </x:c>
      <x:c r="B32" s="88" t="str">
        <x:v>原票なし</x:v>
      </x:c>
      <x:c r="C32" s="116"/>
      <x:c r="D32" s="91" t="str">
        <x:v>原票なし</x:v>
      </x:c>
      <x:c r="E32" s="91" t="str">
        <x:v>原票なし</x:v>
      </x:c>
      <x:c r="F32" s="98"/>
      <x:c r="G32" s="98"/>
      <x:c r="H32" s="99" t="str">
        <x:f>IF(D32="なし",0,IF(AND(D32="あり",ISNUMBER(F32),ISNUMBER(G32)),F32*G32,""))</x:f>
      </x:c>
      <x:c r="I32" s="98" t="str">
        <x:f>IF(D32="あり",1,IF(D32="なし",0,""))</x:f>
      </x:c>
      <x:c r="J32" s="98" t="str">
        <x:f>IF(E32="あり",1,IF(E32="なし",0,""))</x:f>
      </x:c>
      <x:c r="K32" s="91"/>
      <x:c r="L32" s="91"/>
      <x:c r="M32" s="88"/>
      <x:c r="N32" s="88"/>
      <x:c r="O32" s="117" t="str">
        <x:v>添付PDFに該当原票なし。未実施かどうかは不明。</x:v>
      </x:c>
    </x:row>
    <x:row r="33" ht="30" customHeight="1">
      <x:c r="A33" s="89" t="str">
        <x:v>D26</x:v>
      </x:c>
      <x:c r="B33" s="89" t="str">
        <x:v>原票なし</x:v>
      </x:c>
      <x:c r="C33" s="118"/>
      <x:c r="D33" s="92" t="str">
        <x:v>原票なし</x:v>
      </x:c>
      <x:c r="E33" s="92" t="str">
        <x:v>原票なし</x:v>
      </x:c>
      <x:c r="F33" s="101"/>
      <x:c r="G33" s="101"/>
      <x:c r="H33" s="102" t="str">
        <x:f>IF(D33="なし",0,IF(AND(D33="あり",ISNUMBER(F33),ISNUMBER(G33)),F33*G33,""))</x:f>
      </x:c>
      <x:c r="I33" s="101" t="str">
        <x:f>IF(D33="あり",1,IF(D33="なし",0,""))</x:f>
      </x:c>
      <x:c r="J33" s="101" t="str">
        <x:f>IF(E33="あり",1,IF(E33="なし",0,""))</x:f>
      </x:c>
      <x:c r="K33" s="92"/>
      <x:c r="L33" s="92"/>
      <x:c r="M33" s="89"/>
      <x:c r="N33" s="89"/>
      <x:c r="O33" s="119" t="str">
        <x:v>添付PDFに該当原票なし。未実施かどうかは不明。</x:v>
      </x:c>
    </x:row>
    <x:row r="34" ht="30" customHeight="1">
      <x:c r="A34" s="88" t="str">
        <x:v>D27</x:v>
      </x:c>
      <x:c r="B34" s="88" t="str">
        <x:v>原票なし</x:v>
      </x:c>
      <x:c r="C34" s="116"/>
      <x:c r="D34" s="91" t="str">
        <x:v>原票なし</x:v>
      </x:c>
      <x:c r="E34" s="91" t="str">
        <x:v>原票なし</x:v>
      </x:c>
      <x:c r="F34" s="98"/>
      <x:c r="G34" s="98"/>
      <x:c r="H34" s="99" t="str">
        <x:f>IF(D34="なし",0,IF(AND(D34="あり",ISNUMBER(F34),ISNUMBER(G34)),F34*G34,""))</x:f>
      </x:c>
      <x:c r="I34" s="98" t="str">
        <x:f>IF(D34="あり",1,IF(D34="なし",0,""))</x:f>
      </x:c>
      <x:c r="J34" s="98" t="str">
        <x:f>IF(E34="あり",1,IF(E34="なし",0,""))</x:f>
      </x:c>
      <x:c r="K34" s="91"/>
      <x:c r="L34" s="91"/>
      <x:c r="M34" s="88"/>
      <x:c r="N34" s="88"/>
      <x:c r="O34" s="117" t="str">
        <x:v>添付PDFに該当原票なし。未実施かどうかは不明。</x:v>
      </x:c>
    </x:row>
    <x:row r="35" ht="30" customHeight="1">
      <x:c r="A35" s="89" t="str">
        <x:v>D28</x:v>
      </x:c>
      <x:c r="B35" s="89" t="str">
        <x:v>原票なし</x:v>
      </x:c>
      <x:c r="C35" s="118"/>
      <x:c r="D35" s="92" t="str">
        <x:v>原票なし</x:v>
      </x:c>
      <x:c r="E35" s="92" t="str">
        <x:v>原票なし</x:v>
      </x:c>
      <x:c r="F35" s="101"/>
      <x:c r="G35" s="101"/>
      <x:c r="H35" s="102" t="str">
        <x:f>IF(D35="なし",0,IF(AND(D35="あり",ISNUMBER(F35),ISNUMBER(G35)),F35*G35,""))</x:f>
      </x:c>
      <x:c r="I35" s="101" t="str">
        <x:f>IF(D35="あり",1,IF(D35="なし",0,""))</x:f>
      </x:c>
      <x:c r="J35" s="101" t="str">
        <x:f>IF(E35="あり",1,IF(E35="なし",0,""))</x:f>
      </x:c>
      <x:c r="K35" s="92"/>
      <x:c r="L35" s="92"/>
      <x:c r="M35" s="89"/>
      <x:c r="N35" s="89"/>
      <x:c r="O35" s="119" t="str">
        <x:v>添付PDFに該当原票なし。未実施かどうかは不明。</x:v>
      </x:c>
    </x:row>
    <x:row r="36" ht="30" customHeight="1">
      <x:c r="A36" s="88" t="str">
        <x:v>D29</x:v>
      </x:c>
      <x:c r="B36" s="88" t="str">
        <x:v>原票なし</x:v>
      </x:c>
      <x:c r="C36" s="116"/>
      <x:c r="D36" s="91" t="str">
        <x:v>原票なし</x:v>
      </x:c>
      <x:c r="E36" s="91" t="str">
        <x:v>原票なし</x:v>
      </x:c>
      <x:c r="F36" s="98"/>
      <x:c r="G36" s="98"/>
      <x:c r="H36" s="99" t="str">
        <x:f>IF(D36="なし",0,IF(AND(D36="あり",ISNUMBER(F36),ISNUMBER(G36)),F36*G36,""))</x:f>
      </x:c>
      <x:c r="I36" s="98" t="str">
        <x:f>IF(D36="あり",1,IF(D36="なし",0,""))</x:f>
      </x:c>
      <x:c r="J36" s="98" t="str">
        <x:f>IF(E36="あり",1,IF(E36="なし",0,""))</x:f>
      </x:c>
      <x:c r="K36" s="91"/>
      <x:c r="L36" s="91"/>
      <x:c r="M36" s="88"/>
      <x:c r="N36" s="88"/>
      <x:c r="O36" s="117" t="str">
        <x:v>添付PDFに該当原票なし。未実施かどうかは不明。</x:v>
      </x:c>
    </x:row>
    <x:row r="37" ht="30" customHeight="1">
      <x:c r="A37" s="89" t="str">
        <x:v>D30</x:v>
      </x:c>
      <x:c r="B37" s="89" t="str">
        <x:v>原票なし</x:v>
      </x:c>
      <x:c r="C37" s="118"/>
      <x:c r="D37" s="92" t="str">
        <x:v>原票なし</x:v>
      </x:c>
      <x:c r="E37" s="92" t="str">
        <x:v>原票なし</x:v>
      </x:c>
      <x:c r="F37" s="101"/>
      <x:c r="G37" s="101"/>
      <x:c r="H37" s="102" t="str">
        <x:f>IF(D37="なし",0,IF(AND(D37="あり",ISNUMBER(F37),ISNUMBER(G37)),F37*G37,""))</x:f>
      </x:c>
      <x:c r="I37" s="101" t="str">
        <x:f>IF(D37="あり",1,IF(D37="なし",0,""))</x:f>
      </x:c>
      <x:c r="J37" s="101" t="str">
        <x:f>IF(E37="あり",1,IF(E37="なし",0,""))</x:f>
      </x:c>
      <x:c r="K37" s="92"/>
      <x:c r="L37" s="92"/>
      <x:c r="M37" s="89"/>
      <x:c r="N37" s="89"/>
      <x:c r="O37" s="119" t="str">
        <x:v>添付PDFに該当原票なし。未実施かどうかは不明。</x:v>
      </x:c>
    </x:row>
  </x:sheetData>
  <x:dataValidations count="3">
    <x:dataValidation type="whole" operator="between" sqref="F2:F37">
      <x:formula1>1</x:formula1>
      <x:formula2>4</x:formula2>
    </x:dataValidation>
    <x:dataValidation type="whole" operator="between" sqref="G2:G37">
      <x:formula1>1</x:formula1>
      <x:formula2>3</x:formula2>
    </x:dataValidation>
    <x:dataValidation type="list" sqref="D2:E37">
      <x:formula1>"あり,なし,原票なし,判定不能"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/>
  </sheetViews>
  <sheetFormatPr defaultRowHeight="14.25"/>
  <cols>
    <col min="1" max="2" width="11" customWidth="1"/>
    <col min="3" max="4" width="14" customWidth="1"/>
    <col min="5" max="5" width="70" customWidth="1"/>
    <col min="6" max="7" width="24" customWidth="1"/>
  </cols>
  <sheetData>
    <row r="1" spans="1:7" ht="32.1" customHeight="1">
      <c r="A1" s="3" t="s">
        <v>17</v>
      </c>
      <c r="B1" s="3" t="s">
        <v>18</v>
      </c>
      <c r="C1" s="3" t="s">
        <v>185</v>
      </c>
      <c r="D1" s="3" t="s">
        <v>186</v>
      </c>
      <c r="E1" s="3" t="s">
        <v>187</v>
      </c>
      <c r="F1" s="3" t="s">
        <v>39</v>
      </c>
      <c r="G1" s="3" t="s">
        <v>40</v>
      </c>
    </row>
    <row r="2" spans="1:7" ht="28.5">
      <c r="A2" s="4" t="s">
        <v>43</v>
      </c>
      <c r="B2" s="4" t="s">
        <v>44</v>
      </c>
      <c r="C2" s="4" t="s">
        <v>188</v>
      </c>
      <c r="D2" s="4" t="s">
        <v>189</v>
      </c>
      <c r="E2" s="4" t="s">
        <v>190</v>
      </c>
      <c r="F2" s="4" t="s">
        <v>47</v>
      </c>
      <c r="G2" s="4" t="s">
        <v>165</v>
      </c>
    </row>
    <row r="3" spans="1:7" ht="28.5">
      <c r="A3" s="5" t="s">
        <v>60</v>
      </c>
      <c r="B3" s="5" t="s">
        <v>52</v>
      </c>
      <c r="C3" s="5" t="s">
        <v>188</v>
      </c>
      <c r="D3" s="5" t="s">
        <v>189</v>
      </c>
      <c r="E3" s="5" t="s">
        <v>191</v>
      </c>
      <c r="F3" s="5" t="s">
        <v>62</v>
      </c>
      <c r="G3" s="5" t="s">
        <v>54</v>
      </c>
    </row>
    <row r="4" spans="1:7" ht="28.5">
      <c r="A4" s="4" t="s">
        <v>66</v>
      </c>
      <c r="B4" s="4" t="s">
        <v>49</v>
      </c>
      <c r="C4" s="4" t="s">
        <v>188</v>
      </c>
      <c r="D4" s="4" t="s">
        <v>189</v>
      </c>
      <c r="E4" s="4" t="s">
        <v>192</v>
      </c>
      <c r="F4" s="4" t="s">
        <v>68</v>
      </c>
      <c r="G4" s="4" t="s">
        <v>51</v>
      </c>
    </row>
    <row r="5" spans="1:7" ht="28.5">
      <c r="A5" s="5" t="s">
        <v>82</v>
      </c>
      <c r="B5" s="5" t="s">
        <v>44</v>
      </c>
      <c r="C5" s="5" t="s">
        <v>188</v>
      </c>
      <c r="D5" s="5" t="s">
        <v>189</v>
      </c>
      <c r="E5" s="5" t="s">
        <v>193</v>
      </c>
      <c r="F5" s="5" t="s">
        <v>84</v>
      </c>
      <c r="G5" s="5" t="s">
        <v>194</v>
      </c>
    </row>
    <row r="6" spans="1:7" ht="28.5">
      <c r="A6" s="4" t="s">
        <v>87</v>
      </c>
      <c r="B6" s="4" t="s">
        <v>44</v>
      </c>
      <c r="C6" s="4" t="s">
        <v>188</v>
      </c>
      <c r="D6" s="4" t="s">
        <v>189</v>
      </c>
      <c r="E6" s="4" t="s">
        <v>195</v>
      </c>
      <c r="F6" s="4" t="s">
        <v>88</v>
      </c>
      <c r="G6" s="4" t="s">
        <v>48</v>
      </c>
    </row>
    <row r="7" spans="1:7" ht="28.5">
      <c r="A7" s="5" t="s">
        <v>114</v>
      </c>
      <c r="B7" s="5" t="s">
        <v>183</v>
      </c>
      <c r="C7" s="5" t="s">
        <v>188</v>
      </c>
      <c r="D7" s="5" t="s">
        <v>189</v>
      </c>
      <c r="E7" s="5" t="s">
        <v>196</v>
      </c>
      <c r="F7" s="5" t="s">
        <v>115</v>
      </c>
      <c r="G7" s="5" t="s">
        <v>197</v>
      </c>
    </row>
    <row r="8" spans="1:7" ht="28.5">
      <c r="A8" s="4" t="s">
        <v>116</v>
      </c>
      <c r="B8" s="4" t="s">
        <v>44</v>
      </c>
      <c r="C8" s="4" t="s">
        <v>188</v>
      </c>
      <c r="D8" s="4" t="s">
        <v>189</v>
      </c>
      <c r="E8" s="4" t="s">
        <v>198</v>
      </c>
      <c r="F8" s="4" t="s">
        <v>117</v>
      </c>
      <c r="G8" s="4" t="s">
        <v>48</v>
      </c>
    </row>
    <row r="9" spans="1:7" ht="28.5">
      <c r="A9" s="5" t="s">
        <v>118</v>
      </c>
      <c r="B9" s="5" t="s">
        <v>44</v>
      </c>
      <c r="C9" s="5" t="s">
        <v>188</v>
      </c>
      <c r="D9" s="5" t="s">
        <v>189</v>
      </c>
      <c r="E9" s="5" t="s">
        <v>199</v>
      </c>
      <c r="F9" s="5" t="s">
        <v>121</v>
      </c>
      <c r="G9" s="5" t="s">
        <v>48</v>
      </c>
    </row>
    <row r="10" spans="1:7" ht="28.5">
      <c r="A10" s="4" t="s">
        <v>122</v>
      </c>
      <c r="B10" s="4" t="s">
        <v>44</v>
      </c>
      <c r="C10" s="4" t="s">
        <v>188</v>
      </c>
      <c r="D10" s="4" t="s">
        <v>189</v>
      </c>
      <c r="E10" s="4" t="s">
        <v>200</v>
      </c>
      <c r="F10" s="4" t="s">
        <v>124</v>
      </c>
      <c r="G10" s="4" t="s">
        <v>48</v>
      </c>
    </row>
    <row r="11" spans="1:7" ht="28.5">
      <c r="A11" s="5" t="s">
        <v>122</v>
      </c>
      <c r="B11" s="5" t="s">
        <v>44</v>
      </c>
      <c r="C11" s="5" t="s">
        <v>188</v>
      </c>
      <c r="D11" s="5" t="s">
        <v>189</v>
      </c>
      <c r="E11" s="5" t="s">
        <v>201</v>
      </c>
      <c r="F11" s="5" t="s">
        <v>124</v>
      </c>
      <c r="G11" s="5" t="s">
        <v>202</v>
      </c>
    </row>
    <row r="12" spans="1:7" ht="28.5">
      <c r="A12" s="4" t="s">
        <v>128</v>
      </c>
      <c r="B12" s="4" t="s">
        <v>44</v>
      </c>
      <c r="C12" s="4" t="s">
        <v>188</v>
      </c>
      <c r="D12" s="4" t="s">
        <v>189</v>
      </c>
      <c r="E12" s="4" t="s">
        <v>203</v>
      </c>
      <c r="F12" s="4" t="s">
        <v>130</v>
      </c>
      <c r="G12" s="4" t="s">
        <v>48</v>
      </c>
    </row>
    <row r="13" spans="1:7" ht="28.5">
      <c r="A13" s="5" t="s">
        <v>128</v>
      </c>
      <c r="B13" s="5" t="s">
        <v>44</v>
      </c>
      <c r="C13" s="5" t="s">
        <v>188</v>
      </c>
      <c r="D13" s="5" t="s">
        <v>189</v>
      </c>
      <c r="E13" s="5" t="s">
        <v>204</v>
      </c>
      <c r="F13" s="5" t="s">
        <v>130</v>
      </c>
      <c r="G13" s="5" t="s">
        <v>202</v>
      </c>
    </row>
    <row r="14" spans="1:7" ht="28.5">
      <c r="A14" s="4" t="s">
        <v>131</v>
      </c>
      <c r="B14" s="4" t="s">
        <v>44</v>
      </c>
      <c r="C14" s="4" t="s">
        <v>188</v>
      </c>
      <c r="D14" s="4" t="s">
        <v>189</v>
      </c>
      <c r="E14" s="4" t="s">
        <v>205</v>
      </c>
      <c r="F14" s="4" t="s">
        <v>133</v>
      </c>
      <c r="G14" s="4" t="s">
        <v>202</v>
      </c>
    </row>
    <row r="15" spans="1:7" ht="28.5">
      <c r="A15" s="5" t="s">
        <v>137</v>
      </c>
      <c r="B15" s="5" t="s">
        <v>44</v>
      </c>
      <c r="C15" s="5" t="s">
        <v>188</v>
      </c>
      <c r="D15" s="5" t="s">
        <v>189</v>
      </c>
      <c r="E15" s="5" t="s">
        <v>206</v>
      </c>
      <c r="F15" s="5" t="s">
        <v>139</v>
      </c>
      <c r="G15" s="5" t="s">
        <v>48</v>
      </c>
    </row>
  </sheetData>
  <phoneticPr fontId="4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README</vt:lpstr>
      <vt:lpstr>MMSE</vt:lpstr>
      <vt:lpstr>CDR</vt:lpstr>
      <vt:lpstr>MoCA-J</vt:lpstr>
      <vt:lpstr>NPI</vt:lpstr>
      <vt:lpstr>要再確認ログ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Fukusai</cp:lastModifiedBy>
  <dcterms:modified xsi:type="dcterms:W3CDTF">2026-08-05T02:10:46Z</dcterms:modified>
</cp:coreProperties>
</file>